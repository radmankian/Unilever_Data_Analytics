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&amp; CURR INV" sheetId="1" r:id="rId5"/>
    <sheet state="visible" name="Copy of SALES &amp; CURR INV (Learn" sheetId="2" r:id="rId6"/>
    <sheet state="visible" name="LOGISTICS DATA" sheetId="3" r:id="rId7"/>
    <sheet state="visible" name="WH DATA" sheetId="4" r:id="rId8"/>
    <sheet state="visible" name="ACTION PLAN" sheetId="5" r:id="rId9"/>
  </sheets>
  <definedNames/>
  <calcPr/>
</workbook>
</file>

<file path=xl/sharedStrings.xml><?xml version="1.0" encoding="utf-8"?>
<sst xmlns="http://schemas.openxmlformats.org/spreadsheetml/2006/main" count="603" uniqueCount="140">
  <si>
    <t>SALES&gt;&gt;&gt;</t>
  </si>
  <si>
    <t>AIR</t>
  </si>
  <si>
    <t>TOTAL WH CAPACITY</t>
  </si>
  <si>
    <t>OCEAN</t>
  </si>
  <si>
    <t>Item</t>
  </si>
  <si>
    <t>ITEM</t>
  </si>
  <si>
    <t>Supplier</t>
  </si>
  <si>
    <t>sq ft</t>
  </si>
  <si>
    <t>UNIT PRICE</t>
  </si>
  <si>
    <t>Destination</t>
  </si>
  <si>
    <t>PALLET SIZE</t>
  </si>
  <si>
    <t>DIMENSIONS (SQ FT)</t>
  </si>
  <si>
    <t>Cost</t>
  </si>
  <si>
    <t>SERVICE LEVEL</t>
  </si>
  <si>
    <t>Lead Time (days)</t>
  </si>
  <si>
    <t>PALLET SPACE AVAILABLE</t>
  </si>
  <si>
    <t>MEAN</t>
  </si>
  <si>
    <t>STD DEV</t>
  </si>
  <si>
    <t>Z-SCORE</t>
  </si>
  <si>
    <t>LEAD TIME (Weeks)</t>
  </si>
  <si>
    <t>SAFETY STOCK</t>
  </si>
  <si>
    <t>NEW INVENTORY</t>
  </si>
  <si>
    <t>WH SPACE NEEDED (sq ft)</t>
  </si>
  <si>
    <t>PALLETS NEEDED</t>
  </si>
  <si>
    <t>CURRENT INVENTORY</t>
  </si>
  <si>
    <t>pallets</t>
  </si>
  <si>
    <t>A1</t>
  </si>
  <si>
    <t>Dimension (sq ft)</t>
  </si>
  <si>
    <t>Supplier 1</t>
  </si>
  <si>
    <t>Warehouse 1</t>
  </si>
  <si>
    <t>A2</t>
  </si>
  <si>
    <t>A3</t>
  </si>
  <si>
    <t>A4</t>
  </si>
  <si>
    <t>Supplier 2</t>
  </si>
  <si>
    <t>2H Target Revenue</t>
  </si>
  <si>
    <t>A5</t>
  </si>
  <si>
    <t>A6</t>
  </si>
  <si>
    <t>A7</t>
  </si>
  <si>
    <t>Supplier 3</t>
  </si>
  <si>
    <t>A8</t>
  </si>
  <si>
    <t>A9</t>
  </si>
  <si>
    <t>A10</t>
  </si>
  <si>
    <t>Warehouse 2</t>
  </si>
  <si>
    <t>A11</t>
  </si>
  <si>
    <t>A12</t>
  </si>
  <si>
    <t>A13</t>
  </si>
  <si>
    <t>A14</t>
  </si>
  <si>
    <t>A15</t>
  </si>
  <si>
    <t>A16</t>
  </si>
  <si>
    <t>A17</t>
  </si>
  <si>
    <t>Store 1</t>
  </si>
  <si>
    <t>A18</t>
  </si>
  <si>
    <t>A19</t>
  </si>
  <si>
    <t>A20</t>
  </si>
  <si>
    <t>A21</t>
  </si>
  <si>
    <t>A22</t>
  </si>
  <si>
    <t>A23</t>
  </si>
  <si>
    <t>Store 2</t>
  </si>
  <si>
    <t>A24</t>
  </si>
  <si>
    <t>A25</t>
  </si>
  <si>
    <t>A26</t>
  </si>
  <si>
    <t>A27</t>
  </si>
  <si>
    <t>A28</t>
  </si>
  <si>
    <t>A29</t>
  </si>
  <si>
    <t>A30</t>
  </si>
  <si>
    <t>A31</t>
  </si>
  <si>
    <t>Store 3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</si>
  <si>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</si>
  <si>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</si>
  <si>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</si>
  <si>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</si>
  <si>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</si>
  <si>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</si>
  <si>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</si>
  <si>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</si>
  <si>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</si>
  <si>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</si>
  <si>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</si>
  <si>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</si>
  <si>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</si>
  <si>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</si>
  <si>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</si>
  <si>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</si>
  <si>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</si>
  <si>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</si>
  <si>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</si>
  <si>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</si>
  <si>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</si>
  <si>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</si>
  <si>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</si>
  <si>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</si>
  <si>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</si>
  <si>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</si>
  <si>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</si>
  <si>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</si>
  <si>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</si>
  <si>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</si>
  <si>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</si>
  <si>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</si>
  <si>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</si>
  <si>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</si>
  <si>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</si>
  <si>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</si>
  <si>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</si>
  <si>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</si>
  <si>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</si>
  <si>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</si>
  <si>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</si>
  <si>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</si>
  <si>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</si>
  <si>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</si>
  <si>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</si>
  <si>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</si>
  <si>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</si>
  <si>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</si>
  <si>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</si>
  <si>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</si>
  <si>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</si>
  <si>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</si>
  <si>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</si>
  <si>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</si>
  <si>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</si>
  <si>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</si>
  <si>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</si>
  <si>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</si>
  <si>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</si>
  <si>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</si>
  <si>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</si>
  <si>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</si>
  <si>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</si>
  <si>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</si>
  <si>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</si>
  <si>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</si>
  <si>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</si>
  <si>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</si>
  <si>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</si>
  <si>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Prosacco may encounter the following issue when implementing the inventory plan:</t>
  </si>
  <si>
    <t>Prosacco could address this issue by using a combination of the following solutions:</t>
  </si>
  <si>
    <r>
      <rPr>
        <rFont val="Arial"/>
        <b/>
        <color theme="1"/>
        <sz val="12.0"/>
      </rPr>
      <t>Solution #1</t>
    </r>
    <r>
      <rPr>
        <rFont val="Arial"/>
        <color theme="1"/>
        <sz val="12.0"/>
      </rPr>
      <t xml:space="preserve">:
</t>
    </r>
    <r>
      <rPr>
        <rFont val="Arial"/>
        <i/>
        <color rgb="FF0000FF"/>
        <sz val="12.0"/>
      </rPr>
      <t>enter response here</t>
    </r>
    <r>
      <rPr>
        <rFont val="Arial"/>
        <i/>
        <color theme="1"/>
        <sz val="12.0"/>
      </rPr>
      <t xml:space="preserve">
</t>
    </r>
    <r>
      <rPr>
        <rFont val="Arial"/>
        <b/>
        <color theme="1"/>
        <sz val="12.0"/>
      </rPr>
      <t>Disadvantage of solution #1:</t>
    </r>
    <r>
      <rPr>
        <rFont val="Arial"/>
        <color theme="1"/>
        <sz val="12.0"/>
      </rPr>
      <t xml:space="preserve">
</t>
    </r>
    <r>
      <rPr>
        <rFont val="Arial"/>
        <i/>
        <color rgb="FF0000FF"/>
        <sz val="12.0"/>
      </rPr>
      <t>enter response here</t>
    </r>
    <r>
      <rPr>
        <rFont val="Arial"/>
        <i/>
        <color theme="1"/>
        <sz val="12.0"/>
      </rPr>
      <t xml:space="preserve">
</t>
    </r>
    <r>
      <rPr>
        <rFont val="Arial"/>
        <color theme="1"/>
        <sz val="12.0"/>
      </rPr>
      <t xml:space="preserve"> 
</t>
    </r>
    <r>
      <rPr>
        <rFont val="Arial"/>
        <b/>
        <color theme="1"/>
        <sz val="12.0"/>
      </rPr>
      <t>Solution #2</t>
    </r>
    <r>
      <rPr>
        <rFont val="Arial"/>
        <color theme="1"/>
        <sz val="12.0"/>
      </rPr>
      <t xml:space="preserve">:
</t>
    </r>
    <r>
      <rPr>
        <rFont val="Arial"/>
        <i/>
        <color rgb="FF0000FF"/>
        <sz val="12.0"/>
      </rPr>
      <t>enter response here</t>
    </r>
    <r>
      <rPr>
        <rFont val="Arial"/>
        <i/>
        <color theme="1"/>
        <sz val="12.0"/>
      </rPr>
      <t xml:space="preserve">
</t>
    </r>
    <r>
      <rPr>
        <rFont val="Arial"/>
        <b/>
        <color theme="1"/>
        <sz val="12.0"/>
      </rPr>
      <t>Disadvantage of solution #2:</t>
    </r>
    <r>
      <rPr>
        <rFont val="Arial"/>
        <color theme="1"/>
        <sz val="12.0"/>
      </rPr>
      <t xml:space="preserve">
</t>
    </r>
    <r>
      <rPr>
        <rFont val="Arial"/>
        <i/>
        <color rgb="FF0000FF"/>
        <sz val="12.0"/>
      </rPr>
      <t>enter response here</t>
    </r>
    <r>
      <rPr>
        <rFont val="Arial"/>
        <i/>
        <color theme="1"/>
        <sz val="12.0"/>
      </rPr>
      <t xml:space="preserve">
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Solution #3</t>
    </r>
    <r>
      <rPr>
        <rFont val="Arial"/>
        <color theme="1"/>
        <sz val="12.0"/>
      </rPr>
      <t xml:space="preserve">:
</t>
    </r>
    <r>
      <rPr>
        <rFont val="Arial"/>
        <i/>
        <color rgb="FF0000FF"/>
        <sz val="12.0"/>
      </rPr>
      <t>enter response here</t>
    </r>
    <r>
      <rPr>
        <rFont val="Arial"/>
        <i/>
        <color theme="1"/>
        <sz val="12.0"/>
      </rPr>
      <t xml:space="preserve">
</t>
    </r>
    <r>
      <rPr>
        <rFont val="Arial"/>
        <b/>
        <color theme="1"/>
        <sz val="12.0"/>
      </rPr>
      <t>Disadvantage of solution #3:</t>
    </r>
    <r>
      <rPr>
        <rFont val="Arial"/>
        <color theme="1"/>
        <sz val="12.0"/>
      </rPr>
      <t xml:space="preserve">
</t>
    </r>
    <r>
      <rPr>
        <rFont val="Arial"/>
        <i/>
        <color rgb="FF0000FF"/>
        <sz val="12.0"/>
      </rPr>
      <t>enter response here</t>
    </r>
  </si>
  <si>
    <t>Implementing an inventory plan can address challenges and optimize inventory feedback in the following ways: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</si>
</sst>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&quot;$&quot;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b/>
      <sz val="12.0"/>
      <color rgb="FFFFFFFF"/>
      <name val="&quot;Open Sans&quot;"/>
    </font>
    <font>
      <sz val="12.0"/>
      <color rgb="FF000000"/>
      <name val="&quot;Open Sans&quot;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Font="1" applyNumberFormat="1"/>
    <xf borderId="0" fillId="2" fontId="1" numFmtId="164" xfId="0" applyAlignment="1" applyFont="1" applyNumberFormat="1">
      <alignment readingOrder="0"/>
    </xf>
    <xf borderId="0" fillId="2" fontId="3" numFmtId="10" xfId="0" applyAlignment="1" applyFont="1" applyNumberFormat="1">
      <alignment horizontal="center" readingOrder="0"/>
    </xf>
    <xf borderId="0" fillId="2" fontId="3" numFmtId="2" xfId="0" applyAlignment="1" applyFont="1" applyNumberFormat="1">
      <alignment horizontal="center"/>
    </xf>
    <xf borderId="0" fillId="2" fontId="3" numFmtId="2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2" fontId="3" numFmtId="1" xfId="0" applyAlignment="1" applyFont="1" applyNumberFormat="1">
      <alignment horizontal="center"/>
    </xf>
    <xf borderId="0" fillId="2" fontId="3" numFmtId="165" xfId="0" applyAlignment="1" applyFont="1" applyNumberFormat="1">
      <alignment horizontal="center"/>
    </xf>
    <xf borderId="0" fillId="3" fontId="2" numFmtId="0" xfId="0" applyAlignment="1" applyFill="1" applyFont="1">
      <alignment readingOrder="0"/>
    </xf>
    <xf borderId="0" fillId="3" fontId="2" numFmtId="165" xfId="0" applyFont="1" applyNumberFormat="1"/>
    <xf borderId="0" fillId="4" fontId="2" numFmtId="0" xfId="0" applyAlignment="1" applyFill="1" applyFont="1">
      <alignment readingOrder="0"/>
    </xf>
    <xf borderId="0" fillId="3" fontId="2" numFmtId="10" xfId="0" applyAlignment="1" applyFont="1" applyNumberFormat="1">
      <alignment horizontal="center" readingOrder="0"/>
    </xf>
    <xf borderId="0" fillId="3" fontId="2" numFmtId="4" xfId="0" applyAlignment="1" applyFont="1" applyNumberFormat="1">
      <alignment horizontal="center"/>
    </xf>
    <xf borderId="0" fillId="0" fontId="2" numFmtId="10" xfId="0" applyAlignment="1" applyFont="1" applyNumberFormat="1">
      <alignment horizontal="center" readingOrder="0"/>
    </xf>
    <xf borderId="0" fillId="3" fontId="2" numFmtId="4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4" fontId="2" numFmtId="4" xfId="0" applyAlignment="1" applyFont="1" applyNumberFormat="1">
      <alignment horizontal="center"/>
    </xf>
    <xf borderId="0" fillId="3" fontId="2" numFmtId="3" xfId="0" applyAlignment="1" applyFont="1" applyNumberFormat="1">
      <alignment horizontal="center"/>
    </xf>
    <xf borderId="0" fillId="3" fontId="2" numFmtId="0" xfId="0" applyAlignment="1" applyFont="1">
      <alignment horizontal="center"/>
    </xf>
    <xf borderId="0" fillId="3" fontId="2" numFmtId="2" xfId="0" applyAlignment="1" applyFont="1" applyNumberFormat="1">
      <alignment horizontal="center"/>
    </xf>
    <xf borderId="0" fillId="0" fontId="2" numFmtId="4" xfId="0" applyAlignment="1" applyFont="1" applyNumberFormat="1">
      <alignment horizontal="center" readingOrder="0"/>
    </xf>
    <xf borderId="0" fillId="3" fontId="2" numFmtId="0" xfId="0" applyFont="1"/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4" fontId="2" numFmtId="3" xfId="0" applyAlignment="1" applyFont="1" applyNumberFormat="1">
      <alignment horizontal="center"/>
    </xf>
    <xf borderId="0" fillId="3" fontId="2" numFmtId="10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3" fontId="2" numFmtId="4" xfId="0" applyFont="1" applyNumberFormat="1"/>
    <xf borderId="0" fillId="4" fontId="2" numFmtId="2" xfId="0" applyAlignment="1" applyFont="1" applyNumberFormat="1">
      <alignment horizontal="center"/>
    </xf>
    <xf borderId="0" fillId="0" fontId="2" numFmtId="4" xfId="0" applyFont="1" applyNumberFormat="1"/>
    <xf borderId="0" fillId="4" fontId="2" numFmtId="165" xfId="0" applyFont="1" applyNumberFormat="1"/>
    <xf borderId="0" fillId="4" fontId="2" numFmtId="165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5" fontId="4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4" fontId="2" numFmtId="4" xfId="0" applyFont="1" applyNumberFormat="1"/>
    <xf borderId="0" fillId="4" fontId="2" numFmtId="0" xfId="0" applyFont="1"/>
    <xf borderId="0" fillId="0" fontId="6" numFmtId="0" xfId="0" applyAlignment="1" applyFont="1">
      <alignment readingOrder="0" shrinkToFit="0" vertical="top" wrapText="1"/>
    </xf>
    <xf borderId="0" fillId="5" fontId="4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4" width="21.13"/>
    <col customWidth="1" min="5" max="5" width="14.13"/>
    <col customWidth="1" min="6" max="6" width="7.0"/>
    <col customWidth="1" min="7" max="7" width="8.25"/>
    <col customWidth="1" min="8" max="8" width="8.5"/>
    <col customWidth="1" min="9" max="9" width="16.75"/>
    <col customWidth="1" min="10" max="10" width="13.88"/>
    <col customWidth="1" min="11" max="11" width="21.13"/>
    <col customWidth="1" min="12" max="12" width="22.38"/>
    <col customWidth="1" min="13" max="14" width="21.13"/>
    <col customWidth="1" min="22" max="22" width="16.0"/>
  </cols>
  <sheetData>
    <row r="2">
      <c r="O2" s="1" t="s">
        <v>0</v>
      </c>
    </row>
    <row r="3">
      <c r="A3" s="4"/>
      <c r="B3" s="1" t="s">
        <v>5</v>
      </c>
      <c r="C3" s="1" t="s">
        <v>8</v>
      </c>
      <c r="D3" s="1" t="s">
        <v>11</v>
      </c>
      <c r="E3" s="5" t="s">
        <v>13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1" t="s">
        <v>24</v>
      </c>
      <c r="O3" s="7">
        <v>44927.0</v>
      </c>
      <c r="P3" s="7">
        <v>44958.0</v>
      </c>
      <c r="Q3" s="7">
        <v>44986.0</v>
      </c>
      <c r="R3" s="7">
        <v>45017.0</v>
      </c>
      <c r="S3" s="7">
        <v>45047.0</v>
      </c>
      <c r="T3" s="7">
        <v>45078.0</v>
      </c>
      <c r="U3" s="11">
        <v>45108.0</v>
      </c>
      <c r="V3" s="11" t="s">
        <v>34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B4" s="8" t="s">
        <v>26</v>
      </c>
      <c r="C4" s="10">
        <v>3249.0</v>
      </c>
      <c r="D4" s="9">
        <v>9.0</v>
      </c>
      <c r="E4" s="12">
        <v>0.95</v>
      </c>
      <c r="F4" s="13">
        <f t="shared" ref="F4:F6" si="1">AVERAGE(R4:T4)</f>
        <v>123.3333333</v>
      </c>
      <c r="G4" s="13">
        <f t="shared" ref="G4:G6" si="2">STDEV(R4:T4)</f>
        <v>28.30783166</v>
      </c>
      <c r="H4" s="14">
        <v>1.65</v>
      </c>
      <c r="I4" s="15">
        <v>2.0</v>
      </c>
      <c r="J4" s="16">
        <f t="shared" ref="J4:J6" si="3">H4*G4*SQRT(I4)</f>
        <v>66.0549771</v>
      </c>
      <c r="K4" s="16">
        <f>N4+J4</f>
        <v>97.0549771</v>
      </c>
      <c r="L4" s="13">
        <f>K4*D4</f>
        <v>873.4947939</v>
      </c>
      <c r="M4" s="16">
        <f>roundup(L4/42,0)</f>
        <v>21</v>
      </c>
      <c r="N4" s="9">
        <v>31.0</v>
      </c>
      <c r="O4" s="9">
        <v>74.0</v>
      </c>
      <c r="P4" s="9">
        <v>114.0</v>
      </c>
      <c r="Q4" s="9">
        <v>174.0</v>
      </c>
      <c r="R4" s="9">
        <v>156.0</v>
      </c>
      <c r="S4" s="9">
        <v>108.0</v>
      </c>
      <c r="T4" s="9">
        <v>106.0</v>
      </c>
      <c r="U4" s="13">
        <f>average(O4:T4)</f>
        <v>122</v>
      </c>
      <c r="V4" s="17">
        <f>U4*6*C4</f>
        <v>2378268</v>
      </c>
    </row>
    <row r="5">
      <c r="B5" s="20" t="s">
        <v>30</v>
      </c>
      <c r="C5" s="10">
        <v>7217.0</v>
      </c>
      <c r="D5" s="9">
        <v>1.0</v>
      </c>
      <c r="E5" s="23">
        <v>0.9</v>
      </c>
      <c r="F5" s="26">
        <f t="shared" si="1"/>
        <v>77.33333333</v>
      </c>
      <c r="G5" s="26">
        <f t="shared" si="2"/>
        <v>87.96211306</v>
      </c>
      <c r="H5" s="30">
        <v>1.28</v>
      </c>
      <c r="I5" s="32">
        <v>2.0</v>
      </c>
      <c r="J5" s="33">
        <f t="shared" si="3"/>
        <v>159.228433</v>
      </c>
      <c r="K5" s="6"/>
      <c r="L5" s="34"/>
      <c r="N5" s="9">
        <v>122.0</v>
      </c>
      <c r="O5" s="9">
        <v>115.0</v>
      </c>
      <c r="P5" s="9">
        <v>117.0</v>
      </c>
      <c r="Q5" s="9">
        <v>58.0</v>
      </c>
      <c r="R5" s="9">
        <v>56.0</v>
      </c>
      <c r="S5" s="9">
        <v>2.0</v>
      </c>
      <c r="T5" s="9">
        <v>174.0</v>
      </c>
      <c r="U5" s="34"/>
      <c r="V5" s="6"/>
    </row>
    <row r="6">
      <c r="B6" s="20" t="s">
        <v>31</v>
      </c>
      <c r="C6" s="10">
        <v>4873.0</v>
      </c>
      <c r="D6" s="9">
        <v>4.0</v>
      </c>
      <c r="E6" s="23">
        <v>0.9</v>
      </c>
      <c r="F6" s="35">
        <f t="shared" si="1"/>
        <v>142</v>
      </c>
      <c r="G6" s="35">
        <f t="shared" si="2"/>
        <v>46.16275555</v>
      </c>
      <c r="H6" s="30">
        <v>1.28</v>
      </c>
      <c r="I6" s="6">
        <v>2.0</v>
      </c>
      <c r="J6" s="36">
        <f t="shared" si="3"/>
        <v>83.56351357</v>
      </c>
      <c r="K6" s="6"/>
      <c r="L6" s="34"/>
      <c r="N6" s="9">
        <v>146.0</v>
      </c>
      <c r="O6" s="9">
        <v>102.0</v>
      </c>
      <c r="P6" s="9">
        <v>77.0</v>
      </c>
      <c r="Q6" s="9">
        <v>140.0</v>
      </c>
      <c r="R6" s="9">
        <v>192.0</v>
      </c>
      <c r="S6" s="9">
        <v>133.0</v>
      </c>
      <c r="T6" s="9">
        <v>101.0</v>
      </c>
      <c r="U6" s="34"/>
      <c r="V6" s="6"/>
    </row>
    <row r="7">
      <c r="B7" s="8" t="s">
        <v>32</v>
      </c>
      <c r="C7" s="10">
        <v>4994.0</v>
      </c>
      <c r="D7" s="9">
        <v>9.0</v>
      </c>
      <c r="E7" s="6"/>
      <c r="F7" s="6"/>
      <c r="G7" s="35"/>
      <c r="H7" s="35"/>
      <c r="I7" s="6"/>
      <c r="J7" s="33"/>
      <c r="K7" s="6"/>
      <c r="L7" s="34"/>
      <c r="N7" s="9">
        <v>61.0</v>
      </c>
      <c r="O7" s="9">
        <v>116.0</v>
      </c>
      <c r="P7" s="9">
        <v>10.0</v>
      </c>
      <c r="Q7" s="9">
        <v>59.0</v>
      </c>
      <c r="R7" s="9">
        <v>167.0</v>
      </c>
      <c r="S7" s="9">
        <v>174.0</v>
      </c>
      <c r="T7" s="9">
        <v>103.0</v>
      </c>
      <c r="U7" s="34"/>
      <c r="V7" s="6"/>
    </row>
    <row r="8">
      <c r="B8" s="20" t="s">
        <v>35</v>
      </c>
      <c r="C8" s="10">
        <v>6773.0</v>
      </c>
      <c r="D8" s="9">
        <v>2.0</v>
      </c>
      <c r="E8" s="38">
        <v>0.95</v>
      </c>
      <c r="F8" s="35">
        <f>AVERAGE(R8:T8)</f>
        <v>55</v>
      </c>
      <c r="G8" s="35">
        <f>STDEV(R8:T8)</f>
        <v>70.66116331</v>
      </c>
      <c r="H8" s="35">
        <v>1.65</v>
      </c>
      <c r="I8" s="6">
        <v>2.0</v>
      </c>
      <c r="J8" s="33">
        <f>H8*G8*SQRT(I8)</f>
        <v>164.8844595</v>
      </c>
      <c r="K8" s="33">
        <f>N8+J8</f>
        <v>320.8844595</v>
      </c>
      <c r="L8" s="40">
        <f>K8*D8</f>
        <v>641.7689191</v>
      </c>
      <c r="N8" s="9">
        <v>156.0</v>
      </c>
      <c r="O8" s="9">
        <v>83.0</v>
      </c>
      <c r="P8" s="9">
        <v>33.0</v>
      </c>
      <c r="Q8" s="9">
        <v>160.0</v>
      </c>
      <c r="R8" s="9">
        <v>136.0</v>
      </c>
      <c r="S8" s="9">
        <v>6.0</v>
      </c>
      <c r="T8" s="9">
        <v>23.0</v>
      </c>
      <c r="U8" s="34"/>
      <c r="V8" s="6"/>
    </row>
    <row r="9">
      <c r="B9" s="8" t="s">
        <v>36</v>
      </c>
      <c r="C9" s="10">
        <v>6076.0</v>
      </c>
      <c r="D9" s="9">
        <v>8.0</v>
      </c>
      <c r="G9" s="41"/>
      <c r="N9" s="9">
        <v>161.0</v>
      </c>
      <c r="O9" s="9">
        <v>128.0</v>
      </c>
      <c r="P9" s="9">
        <v>131.0</v>
      </c>
      <c r="Q9" s="9">
        <v>198.0</v>
      </c>
      <c r="R9" s="9">
        <v>127.0</v>
      </c>
      <c r="S9" s="9">
        <v>24.0</v>
      </c>
      <c r="T9" s="9">
        <v>135.0</v>
      </c>
      <c r="U9" s="34"/>
      <c r="V9" s="6"/>
    </row>
    <row r="10">
      <c r="B10" s="20" t="s">
        <v>37</v>
      </c>
      <c r="C10" s="42">
        <v>7636.0</v>
      </c>
      <c r="D10" s="9">
        <v>5.0</v>
      </c>
      <c r="N10" s="9">
        <v>181.0</v>
      </c>
      <c r="O10" s="9">
        <v>25.0</v>
      </c>
      <c r="P10" s="9">
        <v>162.0</v>
      </c>
      <c r="Q10" s="9">
        <v>85.0</v>
      </c>
      <c r="R10" s="9">
        <v>179.0</v>
      </c>
      <c r="S10" s="9">
        <v>10.0</v>
      </c>
      <c r="T10" s="9">
        <v>108.0</v>
      </c>
      <c r="U10" s="40">
        <f>AVERAGE(O10:T10)</f>
        <v>94.83333333</v>
      </c>
      <c r="V10" s="43">
        <f>U10*6*C10</f>
        <v>4344884</v>
      </c>
    </row>
    <row r="11">
      <c r="B11" s="8" t="s">
        <v>39</v>
      </c>
      <c r="C11" s="10">
        <v>2458.0</v>
      </c>
      <c r="D11" s="9">
        <v>5.0</v>
      </c>
      <c r="N11" s="9">
        <v>175.0</v>
      </c>
      <c r="O11" s="9">
        <v>139.0</v>
      </c>
      <c r="P11" s="9">
        <v>61.0</v>
      </c>
      <c r="Q11" s="9">
        <v>164.0</v>
      </c>
      <c r="R11" s="9">
        <v>157.0</v>
      </c>
      <c r="S11" s="9">
        <v>152.0</v>
      </c>
      <c r="T11" s="9">
        <v>130.0</v>
      </c>
      <c r="U11" s="34"/>
      <c r="V11" s="6"/>
    </row>
    <row r="12">
      <c r="B12" s="8" t="s">
        <v>40</v>
      </c>
      <c r="C12" s="10">
        <v>1577.0</v>
      </c>
      <c r="D12" s="9">
        <v>12.0</v>
      </c>
      <c r="N12" s="9">
        <v>132.0</v>
      </c>
      <c r="O12" s="9">
        <v>117.0</v>
      </c>
      <c r="P12" s="9">
        <v>132.0</v>
      </c>
      <c r="Q12" s="9">
        <v>123.0</v>
      </c>
      <c r="R12" s="9">
        <v>27.0</v>
      </c>
      <c r="S12" s="9">
        <v>131.0</v>
      </c>
      <c r="T12" s="9">
        <v>81.0</v>
      </c>
      <c r="U12" s="34">
        <f>AVERAGE(O12:T12)</f>
        <v>101.8333333</v>
      </c>
      <c r="V12" s="44">
        <f>U12*6*C12</f>
        <v>963547</v>
      </c>
    </row>
    <row r="13">
      <c r="B13" s="8" t="s">
        <v>41</v>
      </c>
      <c r="C13" s="10">
        <v>2070.0</v>
      </c>
      <c r="D13" s="9">
        <v>5.0</v>
      </c>
      <c r="N13" s="9">
        <v>21.0</v>
      </c>
      <c r="O13" s="9">
        <v>184.0</v>
      </c>
      <c r="P13" s="9">
        <v>50.0</v>
      </c>
      <c r="Q13" s="9">
        <v>58.0</v>
      </c>
      <c r="R13" s="9">
        <v>89.0</v>
      </c>
      <c r="S13" s="9">
        <v>57.0</v>
      </c>
      <c r="T13" s="9">
        <v>14.0</v>
      </c>
      <c r="U13" s="34"/>
      <c r="V13" s="6"/>
    </row>
    <row r="14">
      <c r="B14" s="8" t="s">
        <v>43</v>
      </c>
      <c r="C14" s="10">
        <v>1154.0</v>
      </c>
      <c r="D14" s="9">
        <v>11.0</v>
      </c>
      <c r="N14" s="9">
        <v>166.0</v>
      </c>
      <c r="O14" s="9">
        <v>104.0</v>
      </c>
      <c r="P14" s="9">
        <v>1.0</v>
      </c>
      <c r="Q14" s="9">
        <v>2.0</v>
      </c>
      <c r="R14" s="9">
        <v>70.0</v>
      </c>
      <c r="S14" s="9">
        <v>22.0</v>
      </c>
      <c r="T14" s="9">
        <v>85.0</v>
      </c>
      <c r="U14" s="34"/>
      <c r="V14" s="6"/>
    </row>
    <row r="15">
      <c r="B15" s="8" t="s">
        <v>44</v>
      </c>
      <c r="C15" s="10">
        <v>8113.0</v>
      </c>
      <c r="D15" s="9">
        <v>3.0</v>
      </c>
      <c r="N15" s="9">
        <v>123.0</v>
      </c>
      <c r="O15" s="9">
        <v>11.0</v>
      </c>
      <c r="P15" s="9">
        <v>165.0</v>
      </c>
      <c r="Q15" s="9">
        <v>141.0</v>
      </c>
      <c r="R15" s="9">
        <v>148.0</v>
      </c>
      <c r="S15" s="9">
        <v>61.0</v>
      </c>
      <c r="T15" s="9">
        <v>51.0</v>
      </c>
      <c r="U15" s="34"/>
      <c r="V15" s="6"/>
    </row>
    <row r="16">
      <c r="B16" s="8" t="s">
        <v>45</v>
      </c>
      <c r="C16" s="10">
        <v>2148.0</v>
      </c>
      <c r="D16" s="9">
        <v>5.0</v>
      </c>
      <c r="N16" s="9">
        <v>122.0</v>
      </c>
      <c r="O16" s="9">
        <v>84.0</v>
      </c>
      <c r="P16" s="9">
        <v>161.0</v>
      </c>
      <c r="Q16" s="9">
        <v>197.0</v>
      </c>
      <c r="R16" s="9">
        <v>145.0</v>
      </c>
      <c r="S16" s="9">
        <v>115.0</v>
      </c>
      <c r="T16" s="9">
        <v>196.0</v>
      </c>
      <c r="U16" s="34">
        <f>AVERAGE(O16:T16)</f>
        <v>149.6666667</v>
      </c>
      <c r="V16" s="44">
        <f>U16*6*C16</f>
        <v>1928904</v>
      </c>
    </row>
    <row r="17">
      <c r="B17" s="8" t="s">
        <v>46</v>
      </c>
      <c r="C17" s="10">
        <v>4681.0</v>
      </c>
      <c r="D17" s="9">
        <v>2.0</v>
      </c>
      <c r="N17" s="9">
        <v>164.0</v>
      </c>
      <c r="O17" s="9">
        <v>20.0</v>
      </c>
      <c r="P17" s="9">
        <v>163.0</v>
      </c>
      <c r="Q17" s="9">
        <v>103.0</v>
      </c>
      <c r="R17" s="9">
        <v>160.0</v>
      </c>
      <c r="S17" s="9">
        <v>25.0</v>
      </c>
      <c r="T17" s="9">
        <v>34.0</v>
      </c>
    </row>
    <row r="18">
      <c r="B18" s="8" t="s">
        <v>47</v>
      </c>
      <c r="C18" s="10">
        <v>4260.0</v>
      </c>
      <c r="D18" s="9">
        <v>8.0</v>
      </c>
      <c r="N18" s="9">
        <v>8.0</v>
      </c>
      <c r="O18" s="9">
        <v>122.0</v>
      </c>
      <c r="P18" s="9">
        <v>88.0</v>
      </c>
      <c r="Q18" s="9">
        <v>142.0</v>
      </c>
      <c r="R18" s="9">
        <v>158.0</v>
      </c>
      <c r="S18" s="9">
        <v>157.0</v>
      </c>
      <c r="T18" s="9">
        <v>22.0</v>
      </c>
    </row>
    <row r="19">
      <c r="B19" s="8" t="s">
        <v>48</v>
      </c>
      <c r="C19" s="10">
        <v>9255.0</v>
      </c>
      <c r="D19" s="9">
        <v>1.0</v>
      </c>
      <c r="N19" s="9">
        <v>72.0</v>
      </c>
      <c r="O19" s="9">
        <v>141.0</v>
      </c>
      <c r="P19" s="9">
        <v>29.0</v>
      </c>
      <c r="Q19" s="9">
        <v>183.0</v>
      </c>
      <c r="R19" s="9">
        <v>106.0</v>
      </c>
      <c r="S19" s="9">
        <v>46.0</v>
      </c>
      <c r="T19" s="9">
        <v>34.0</v>
      </c>
    </row>
    <row r="20">
      <c r="B20" s="8" t="s">
        <v>49</v>
      </c>
      <c r="C20" s="10">
        <v>6796.0</v>
      </c>
      <c r="D20" s="9">
        <v>3.0</v>
      </c>
      <c r="N20" s="9">
        <v>64.0</v>
      </c>
      <c r="O20" s="9">
        <v>63.0</v>
      </c>
      <c r="P20" s="9">
        <v>98.0</v>
      </c>
      <c r="Q20" s="9">
        <v>57.0</v>
      </c>
      <c r="R20" s="9">
        <v>163.0</v>
      </c>
      <c r="S20" s="9">
        <v>160.0</v>
      </c>
      <c r="T20" s="9">
        <v>100.0</v>
      </c>
    </row>
    <row r="21">
      <c r="B21" s="8" t="s">
        <v>51</v>
      </c>
      <c r="C21" s="10">
        <v>9938.0</v>
      </c>
      <c r="D21" s="9">
        <v>9.0</v>
      </c>
      <c r="N21" s="9">
        <v>95.0</v>
      </c>
      <c r="O21" s="9">
        <v>5.0</v>
      </c>
      <c r="P21" s="9">
        <v>196.0</v>
      </c>
      <c r="Q21" s="9">
        <v>197.0</v>
      </c>
      <c r="R21" s="9">
        <v>3.0</v>
      </c>
      <c r="S21" s="9">
        <v>53.0</v>
      </c>
      <c r="T21" s="9">
        <v>114.0</v>
      </c>
    </row>
    <row r="22">
      <c r="B22" s="8" t="s">
        <v>52</v>
      </c>
      <c r="C22" s="10">
        <v>2367.0</v>
      </c>
      <c r="D22" s="9">
        <v>11.0</v>
      </c>
      <c r="N22" s="9">
        <v>28.0</v>
      </c>
      <c r="O22" s="9">
        <v>1.0</v>
      </c>
      <c r="P22" s="9">
        <v>98.0</v>
      </c>
      <c r="Q22" s="9">
        <v>116.0</v>
      </c>
      <c r="R22" s="9">
        <v>45.0</v>
      </c>
      <c r="S22" s="9">
        <v>180.0</v>
      </c>
      <c r="T22" s="9">
        <v>163.0</v>
      </c>
    </row>
    <row r="23">
      <c r="B23" s="8" t="s">
        <v>53</v>
      </c>
      <c r="C23" s="10">
        <v>1414.0</v>
      </c>
      <c r="D23" s="9">
        <v>6.0</v>
      </c>
      <c r="N23" s="9">
        <v>90.0</v>
      </c>
      <c r="O23" s="9">
        <v>175.0</v>
      </c>
      <c r="P23" s="9">
        <v>1.0</v>
      </c>
      <c r="Q23" s="9">
        <v>195.0</v>
      </c>
      <c r="R23" s="9">
        <v>41.0</v>
      </c>
      <c r="S23" s="9">
        <v>134.0</v>
      </c>
      <c r="T23" s="9">
        <v>51.0</v>
      </c>
    </row>
    <row r="24">
      <c r="B24" s="8" t="s">
        <v>54</v>
      </c>
      <c r="C24" s="10">
        <v>4147.0</v>
      </c>
      <c r="D24" s="9">
        <v>1.0</v>
      </c>
      <c r="N24" s="9">
        <v>165.0</v>
      </c>
      <c r="O24" s="9">
        <v>151.0</v>
      </c>
      <c r="P24" s="9">
        <v>183.0</v>
      </c>
      <c r="Q24" s="9">
        <v>117.0</v>
      </c>
      <c r="R24" s="9">
        <v>30.0</v>
      </c>
      <c r="S24" s="9">
        <v>181.0</v>
      </c>
      <c r="T24" s="9">
        <v>14.0</v>
      </c>
    </row>
    <row r="25">
      <c r="B25" s="8" t="s">
        <v>55</v>
      </c>
      <c r="C25" s="10">
        <v>6178.0</v>
      </c>
      <c r="D25" s="9">
        <v>5.0</v>
      </c>
      <c r="N25" s="9">
        <v>135.0</v>
      </c>
      <c r="O25" s="9">
        <v>5.0</v>
      </c>
      <c r="P25" s="9">
        <v>157.0</v>
      </c>
      <c r="Q25" s="9">
        <v>92.0</v>
      </c>
      <c r="R25" s="9">
        <v>90.0</v>
      </c>
      <c r="S25" s="9">
        <v>38.0</v>
      </c>
      <c r="T25" s="9">
        <v>73.0</v>
      </c>
    </row>
    <row r="26">
      <c r="B26" s="8" t="s">
        <v>56</v>
      </c>
      <c r="C26" s="10">
        <v>4490.0</v>
      </c>
      <c r="D26" s="9">
        <v>5.0</v>
      </c>
      <c r="N26" s="9">
        <v>13.0</v>
      </c>
      <c r="O26" s="9">
        <v>35.0</v>
      </c>
      <c r="P26" s="9">
        <v>120.0</v>
      </c>
      <c r="Q26" s="9">
        <v>190.0</v>
      </c>
      <c r="R26" s="9">
        <v>45.0</v>
      </c>
      <c r="S26" s="9">
        <v>43.0</v>
      </c>
      <c r="T26" s="9">
        <v>122.0</v>
      </c>
    </row>
    <row r="27">
      <c r="B27" s="8" t="s">
        <v>58</v>
      </c>
      <c r="C27" s="10">
        <v>1993.0</v>
      </c>
      <c r="D27" s="9">
        <v>7.0</v>
      </c>
      <c r="N27" s="9">
        <v>22.0</v>
      </c>
      <c r="O27" s="9">
        <v>86.0</v>
      </c>
      <c r="P27" s="9">
        <v>44.0</v>
      </c>
      <c r="Q27" s="9">
        <v>54.0</v>
      </c>
      <c r="R27" s="9">
        <v>171.0</v>
      </c>
      <c r="S27" s="9">
        <v>89.0</v>
      </c>
      <c r="T27" s="9">
        <v>6.0</v>
      </c>
    </row>
    <row r="28">
      <c r="B28" s="20" t="s">
        <v>59</v>
      </c>
      <c r="C28" s="10">
        <v>1554.0</v>
      </c>
      <c r="D28" s="9">
        <v>12.0</v>
      </c>
      <c r="F28" s="49">
        <f>AVERAGE(R28:T28)</f>
        <v>32.66666667</v>
      </c>
      <c r="N28" s="50">
        <v>133.0</v>
      </c>
      <c r="O28" s="9">
        <v>158.0</v>
      </c>
      <c r="P28" s="9">
        <v>154.0</v>
      </c>
      <c r="Q28" s="9">
        <v>21.0</v>
      </c>
      <c r="R28" s="9">
        <v>50.0</v>
      </c>
      <c r="S28" s="9">
        <v>33.0</v>
      </c>
      <c r="T28" s="9">
        <v>15.0</v>
      </c>
    </row>
    <row r="29">
      <c r="B29" s="8" t="s">
        <v>60</v>
      </c>
      <c r="C29" s="10">
        <v>7948.0</v>
      </c>
      <c r="D29" s="9">
        <v>5.0</v>
      </c>
      <c r="N29" s="9">
        <v>42.0</v>
      </c>
      <c r="O29" s="9">
        <v>161.0</v>
      </c>
      <c r="P29" s="9">
        <v>45.0</v>
      </c>
      <c r="Q29" s="9">
        <v>70.0</v>
      </c>
      <c r="R29" s="9">
        <v>32.0</v>
      </c>
      <c r="S29" s="9">
        <v>180.0</v>
      </c>
      <c r="T29" s="9">
        <v>137.0</v>
      </c>
    </row>
    <row r="30">
      <c r="B30" s="8" t="s">
        <v>61</v>
      </c>
      <c r="C30" s="10">
        <v>7746.0</v>
      </c>
      <c r="D30" s="9">
        <v>4.0</v>
      </c>
      <c r="N30" s="9">
        <v>136.0</v>
      </c>
      <c r="O30" s="9">
        <v>55.0</v>
      </c>
      <c r="P30" s="9">
        <v>174.0</v>
      </c>
      <c r="Q30" s="9">
        <v>75.0</v>
      </c>
      <c r="R30" s="9">
        <v>84.0</v>
      </c>
      <c r="S30" s="9">
        <v>196.0</v>
      </c>
      <c r="T30" s="9">
        <v>11.0</v>
      </c>
    </row>
    <row r="31">
      <c r="B31" s="8" t="s">
        <v>62</v>
      </c>
      <c r="C31" s="10">
        <v>6041.0</v>
      </c>
      <c r="D31" s="9">
        <v>9.0</v>
      </c>
      <c r="N31" s="9">
        <v>184.0</v>
      </c>
      <c r="O31" s="9">
        <v>122.0</v>
      </c>
      <c r="P31" s="9">
        <v>170.0</v>
      </c>
      <c r="Q31" s="9">
        <v>28.0</v>
      </c>
      <c r="R31" s="9">
        <v>74.0</v>
      </c>
      <c r="S31" s="9">
        <v>90.0</v>
      </c>
      <c r="T31" s="9">
        <v>37.0</v>
      </c>
    </row>
    <row r="32">
      <c r="B32" s="8" t="s">
        <v>63</v>
      </c>
      <c r="C32" s="10">
        <v>2260.0</v>
      </c>
      <c r="D32" s="9">
        <v>7.0</v>
      </c>
      <c r="N32" s="9">
        <v>0.0</v>
      </c>
      <c r="O32" s="9">
        <v>72.0</v>
      </c>
      <c r="P32" s="9">
        <v>30.0</v>
      </c>
      <c r="Q32" s="9">
        <v>81.0</v>
      </c>
      <c r="R32" s="9">
        <v>180.0</v>
      </c>
      <c r="S32" s="9">
        <v>177.0</v>
      </c>
      <c r="T32" s="9">
        <v>52.0</v>
      </c>
    </row>
    <row r="33">
      <c r="B33" s="8" t="s">
        <v>64</v>
      </c>
      <c r="C33" s="10">
        <v>7561.0</v>
      </c>
      <c r="D33" s="9">
        <v>11.0</v>
      </c>
      <c r="N33" s="9">
        <v>3.0</v>
      </c>
      <c r="O33" s="9">
        <v>111.0</v>
      </c>
      <c r="P33" s="9">
        <v>76.0</v>
      </c>
      <c r="Q33" s="9">
        <v>169.0</v>
      </c>
      <c r="R33" s="9">
        <v>168.0</v>
      </c>
      <c r="S33" s="9">
        <v>15.0</v>
      </c>
      <c r="T33" s="9">
        <v>184.0</v>
      </c>
    </row>
    <row r="34">
      <c r="B34" s="8" t="s">
        <v>65</v>
      </c>
      <c r="C34" s="10">
        <v>4298.0</v>
      </c>
      <c r="D34" s="9">
        <v>12.0</v>
      </c>
      <c r="N34" s="9">
        <v>173.0</v>
      </c>
      <c r="O34" s="9">
        <v>10.0</v>
      </c>
      <c r="P34" s="9">
        <v>148.0</v>
      </c>
      <c r="Q34" s="9">
        <v>1.0</v>
      </c>
      <c r="R34" s="9">
        <v>177.0</v>
      </c>
      <c r="S34" s="9">
        <v>92.0</v>
      </c>
      <c r="T34" s="9">
        <v>142.0</v>
      </c>
    </row>
    <row r="35">
      <c r="B35" s="8" t="s">
        <v>67</v>
      </c>
      <c r="C35" s="10">
        <v>9726.0</v>
      </c>
      <c r="D35" s="9">
        <v>2.0</v>
      </c>
      <c r="N35" s="9">
        <v>50.0</v>
      </c>
      <c r="O35" s="9">
        <v>185.0</v>
      </c>
      <c r="P35" s="9">
        <v>117.0</v>
      </c>
      <c r="Q35" s="9">
        <v>62.0</v>
      </c>
      <c r="R35" s="9">
        <v>149.0</v>
      </c>
      <c r="S35" s="9">
        <v>92.0</v>
      </c>
      <c r="T35" s="9">
        <v>124.0</v>
      </c>
    </row>
    <row r="36">
      <c r="B36" s="8" t="s">
        <v>68</v>
      </c>
      <c r="C36" s="10">
        <v>7591.0</v>
      </c>
      <c r="D36" s="9">
        <v>2.0</v>
      </c>
      <c r="N36" s="9">
        <v>84.0</v>
      </c>
      <c r="O36" s="9">
        <v>110.0</v>
      </c>
      <c r="P36" s="9">
        <v>187.0</v>
      </c>
      <c r="Q36" s="9">
        <v>44.0</v>
      </c>
      <c r="R36" s="9">
        <v>101.0</v>
      </c>
      <c r="S36" s="9">
        <v>3.0</v>
      </c>
      <c r="T36" s="9">
        <v>28.0</v>
      </c>
    </row>
    <row r="37">
      <c r="B37" s="8" t="s">
        <v>69</v>
      </c>
      <c r="C37" s="10">
        <v>7113.0</v>
      </c>
      <c r="D37" s="9">
        <v>8.0</v>
      </c>
      <c r="N37" s="9">
        <v>152.0</v>
      </c>
      <c r="O37" s="9">
        <v>4.0</v>
      </c>
      <c r="P37" s="9">
        <v>8.0</v>
      </c>
      <c r="Q37" s="9">
        <v>28.0</v>
      </c>
      <c r="R37" s="9">
        <v>164.0</v>
      </c>
      <c r="S37" s="9">
        <v>110.0</v>
      </c>
      <c r="T37" s="9">
        <v>176.0</v>
      </c>
    </row>
    <row r="38">
      <c r="B38" s="8" t="s">
        <v>70</v>
      </c>
      <c r="C38" s="10">
        <v>3083.0</v>
      </c>
      <c r="D38" s="9">
        <v>9.0</v>
      </c>
      <c r="N38" s="9">
        <v>63.0</v>
      </c>
      <c r="O38" s="9">
        <v>73.0</v>
      </c>
      <c r="P38" s="9">
        <v>175.0</v>
      </c>
      <c r="Q38" s="9">
        <v>3.0</v>
      </c>
      <c r="R38" s="9">
        <v>106.0</v>
      </c>
      <c r="S38" s="9">
        <v>105.0</v>
      </c>
      <c r="T38" s="9">
        <v>17.0</v>
      </c>
    </row>
    <row r="39">
      <c r="B39" s="8" t="s">
        <v>71</v>
      </c>
      <c r="C39" s="10">
        <v>9299.0</v>
      </c>
      <c r="D39" s="9">
        <v>12.0</v>
      </c>
      <c r="N39" s="9">
        <v>98.0</v>
      </c>
      <c r="O39" s="9">
        <v>96.0</v>
      </c>
      <c r="P39" s="9">
        <v>94.0</v>
      </c>
      <c r="Q39" s="9">
        <v>135.0</v>
      </c>
      <c r="R39" s="9">
        <v>191.0</v>
      </c>
      <c r="S39" s="9">
        <v>68.0</v>
      </c>
      <c r="T39" s="9">
        <v>173.0</v>
      </c>
    </row>
    <row r="40">
      <c r="B40" s="8" t="s">
        <v>72</v>
      </c>
      <c r="C40" s="10">
        <v>7951.0</v>
      </c>
      <c r="D40" s="9">
        <v>9.0</v>
      </c>
      <c r="N40" s="9">
        <v>184.0</v>
      </c>
      <c r="O40" s="9">
        <v>18.0</v>
      </c>
      <c r="P40" s="9">
        <v>99.0</v>
      </c>
      <c r="Q40" s="9">
        <v>3.0</v>
      </c>
      <c r="R40" s="9">
        <v>9.0</v>
      </c>
      <c r="S40" s="9">
        <v>195.0</v>
      </c>
      <c r="T40" s="9">
        <v>34.0</v>
      </c>
    </row>
    <row r="41">
      <c r="B41" s="8" t="s">
        <v>73</v>
      </c>
      <c r="C41" s="10">
        <v>1277.0</v>
      </c>
      <c r="D41" s="9">
        <v>1.0</v>
      </c>
      <c r="N41" s="9">
        <v>71.0</v>
      </c>
      <c r="O41" s="9">
        <v>35.0</v>
      </c>
      <c r="P41" s="9">
        <v>186.0</v>
      </c>
      <c r="Q41" s="9">
        <v>13.0</v>
      </c>
      <c r="R41" s="9">
        <v>98.0</v>
      </c>
      <c r="S41" s="9">
        <v>181.0</v>
      </c>
      <c r="T41" s="9">
        <v>78.0</v>
      </c>
    </row>
    <row r="42">
      <c r="B42" s="8" t="s">
        <v>74</v>
      </c>
      <c r="C42" s="10">
        <v>5592.0</v>
      </c>
      <c r="D42" s="9">
        <v>6.0</v>
      </c>
      <c r="N42" s="9">
        <v>152.0</v>
      </c>
      <c r="O42" s="9">
        <v>195.0</v>
      </c>
      <c r="P42" s="9">
        <v>118.0</v>
      </c>
      <c r="Q42" s="9">
        <v>60.0</v>
      </c>
      <c r="R42" s="9">
        <v>118.0</v>
      </c>
      <c r="S42" s="9">
        <v>174.0</v>
      </c>
      <c r="T42" s="9">
        <v>176.0</v>
      </c>
    </row>
    <row r="43">
      <c r="B43" s="8" t="s">
        <v>75</v>
      </c>
      <c r="C43" s="10">
        <v>4587.0</v>
      </c>
      <c r="D43" s="9">
        <v>5.0</v>
      </c>
      <c r="N43" s="9">
        <v>50.0</v>
      </c>
      <c r="O43" s="9">
        <v>0.0</v>
      </c>
      <c r="P43" s="9">
        <v>68.0</v>
      </c>
      <c r="Q43" s="9">
        <v>106.0</v>
      </c>
      <c r="R43" s="9">
        <v>107.0</v>
      </c>
      <c r="S43" s="9">
        <v>127.0</v>
      </c>
      <c r="T43" s="9">
        <v>55.0</v>
      </c>
    </row>
    <row r="44">
      <c r="B44" s="8" t="s">
        <v>76</v>
      </c>
      <c r="C44" s="10">
        <v>2128.0</v>
      </c>
      <c r="D44" s="9">
        <v>1.0</v>
      </c>
      <c r="N44" s="9">
        <v>20.0</v>
      </c>
      <c r="O44" s="9">
        <v>25.0</v>
      </c>
      <c r="P44" s="9">
        <v>27.0</v>
      </c>
      <c r="Q44" s="9">
        <v>73.0</v>
      </c>
      <c r="R44" s="9">
        <v>182.0</v>
      </c>
      <c r="S44" s="9">
        <v>155.0</v>
      </c>
      <c r="T44" s="9">
        <v>77.0</v>
      </c>
    </row>
    <row r="45">
      <c r="B45" s="8" t="s">
        <v>77</v>
      </c>
      <c r="C45" s="10">
        <v>3294.0</v>
      </c>
      <c r="D45" s="9">
        <v>1.0</v>
      </c>
      <c r="N45" s="9">
        <v>148.0</v>
      </c>
      <c r="O45" s="9">
        <v>112.0</v>
      </c>
      <c r="P45" s="9">
        <v>10.0</v>
      </c>
      <c r="Q45" s="9">
        <v>131.0</v>
      </c>
      <c r="R45" s="9">
        <v>141.0</v>
      </c>
      <c r="S45" s="9">
        <v>151.0</v>
      </c>
      <c r="T45" s="9">
        <v>27.0</v>
      </c>
    </row>
    <row r="46">
      <c r="B46" s="8" t="s">
        <v>78</v>
      </c>
      <c r="C46" s="10">
        <v>7714.0</v>
      </c>
      <c r="D46" s="9">
        <v>4.0</v>
      </c>
      <c r="N46" s="9">
        <v>44.0</v>
      </c>
      <c r="O46" s="9">
        <v>36.0</v>
      </c>
      <c r="P46" s="9">
        <v>126.0</v>
      </c>
      <c r="Q46" s="9">
        <v>61.0</v>
      </c>
      <c r="R46" s="9">
        <v>43.0</v>
      </c>
      <c r="S46" s="9">
        <v>80.0</v>
      </c>
      <c r="T46" s="9">
        <v>173.0</v>
      </c>
    </row>
    <row r="47">
      <c r="B47" s="8" t="s">
        <v>79</v>
      </c>
      <c r="C47" s="10">
        <v>1115.0</v>
      </c>
      <c r="D47" s="9">
        <v>3.0</v>
      </c>
      <c r="N47" s="9">
        <v>60.0</v>
      </c>
      <c r="O47" s="9">
        <v>127.0</v>
      </c>
      <c r="P47" s="9">
        <v>21.0</v>
      </c>
      <c r="Q47" s="9">
        <v>63.0</v>
      </c>
      <c r="R47" s="9">
        <v>46.0</v>
      </c>
      <c r="S47" s="9">
        <v>122.0</v>
      </c>
      <c r="T47" s="9">
        <v>2.0</v>
      </c>
    </row>
    <row r="48">
      <c r="B48" s="8" t="s">
        <v>80</v>
      </c>
      <c r="C48" s="10">
        <v>6248.0</v>
      </c>
      <c r="D48" s="9">
        <v>7.0</v>
      </c>
      <c r="N48" s="9">
        <v>93.0</v>
      </c>
      <c r="O48" s="9">
        <v>97.0</v>
      </c>
      <c r="P48" s="9">
        <v>97.0</v>
      </c>
      <c r="Q48" s="9">
        <v>14.0</v>
      </c>
      <c r="R48" s="9">
        <v>179.0</v>
      </c>
      <c r="S48" s="9">
        <v>124.0</v>
      </c>
      <c r="T48" s="9">
        <v>137.0</v>
      </c>
    </row>
    <row r="49">
      <c r="B49" s="8" t="s">
        <v>81</v>
      </c>
      <c r="C49" s="10">
        <v>6959.0</v>
      </c>
      <c r="D49" s="9">
        <v>5.0</v>
      </c>
      <c r="N49" s="9">
        <v>199.0</v>
      </c>
      <c r="O49" s="9">
        <v>10.0</v>
      </c>
      <c r="P49" s="9">
        <v>48.0</v>
      </c>
      <c r="Q49" s="9">
        <v>31.0</v>
      </c>
      <c r="R49" s="9">
        <v>121.0</v>
      </c>
      <c r="S49" s="9">
        <v>155.0</v>
      </c>
      <c r="T49" s="9">
        <v>125.0</v>
      </c>
    </row>
    <row r="50">
      <c r="B50" s="8" t="s">
        <v>82</v>
      </c>
      <c r="C50" s="10">
        <v>1871.0</v>
      </c>
      <c r="D50" s="9">
        <v>9.0</v>
      </c>
      <c r="N50" s="9">
        <v>175.0</v>
      </c>
      <c r="O50" s="9">
        <v>38.0</v>
      </c>
      <c r="P50" s="9">
        <v>80.0</v>
      </c>
      <c r="Q50" s="9">
        <v>101.0</v>
      </c>
      <c r="R50" s="9">
        <v>21.0</v>
      </c>
      <c r="S50" s="9">
        <v>3.0</v>
      </c>
      <c r="T50" s="9">
        <v>71.0</v>
      </c>
    </row>
    <row r="51">
      <c r="B51" s="8" t="s">
        <v>83</v>
      </c>
      <c r="C51" s="10">
        <v>2973.0</v>
      </c>
      <c r="D51" s="9">
        <v>8.0</v>
      </c>
      <c r="N51" s="9">
        <v>180.0</v>
      </c>
      <c r="O51" s="9">
        <v>88.0</v>
      </c>
      <c r="P51" s="9">
        <v>180.0</v>
      </c>
      <c r="Q51" s="9">
        <v>120.0</v>
      </c>
      <c r="R51" s="9">
        <v>65.0</v>
      </c>
      <c r="S51" s="9">
        <v>141.0</v>
      </c>
      <c r="T51" s="9">
        <v>20.0</v>
      </c>
    </row>
    <row r="52">
      <c r="B52" s="8" t="s">
        <v>84</v>
      </c>
      <c r="C52" s="10">
        <v>6739.0</v>
      </c>
      <c r="D52" s="9">
        <v>9.0</v>
      </c>
      <c r="N52" s="9">
        <v>35.0</v>
      </c>
      <c r="O52" s="9">
        <v>79.0</v>
      </c>
      <c r="P52" s="9">
        <v>150.0</v>
      </c>
      <c r="Q52" s="9">
        <v>74.0</v>
      </c>
      <c r="R52" s="9">
        <v>106.0</v>
      </c>
      <c r="S52" s="9">
        <v>63.0</v>
      </c>
      <c r="T52" s="9">
        <v>68.0</v>
      </c>
    </row>
    <row r="53">
      <c r="B53" s="8" t="s">
        <v>85</v>
      </c>
      <c r="C53" s="10">
        <v>2258.0</v>
      </c>
      <c r="D53" s="9">
        <v>9.0</v>
      </c>
      <c r="N53" s="9">
        <v>135.0</v>
      </c>
      <c r="O53" s="9">
        <v>127.0</v>
      </c>
      <c r="P53" s="9">
        <v>13.0</v>
      </c>
      <c r="Q53" s="9">
        <v>165.0</v>
      </c>
      <c r="R53" s="9">
        <v>50.0</v>
      </c>
      <c r="S53" s="9">
        <v>147.0</v>
      </c>
      <c r="T53" s="9">
        <v>6.0</v>
      </c>
    </row>
    <row r="54">
      <c r="B54" s="8" t="s">
        <v>86</v>
      </c>
      <c r="C54" s="10">
        <v>3735.0</v>
      </c>
      <c r="D54" s="9">
        <v>8.0</v>
      </c>
      <c r="N54" s="9">
        <v>151.0</v>
      </c>
      <c r="O54" s="9">
        <v>21.0</v>
      </c>
      <c r="P54" s="9">
        <v>58.0</v>
      </c>
      <c r="Q54" s="9">
        <v>172.0</v>
      </c>
      <c r="R54" s="9">
        <v>48.0</v>
      </c>
      <c r="S54" s="9">
        <v>108.0</v>
      </c>
      <c r="T54" s="9">
        <v>146.0</v>
      </c>
    </row>
    <row r="55">
      <c r="B55" s="8" t="s">
        <v>87</v>
      </c>
      <c r="C55" s="10">
        <v>1465.0</v>
      </c>
      <c r="D55" s="9">
        <v>12.0</v>
      </c>
      <c r="N55" s="9">
        <v>49.0</v>
      </c>
      <c r="O55" s="9">
        <v>166.0</v>
      </c>
      <c r="P55" s="9">
        <v>69.0</v>
      </c>
      <c r="Q55" s="9">
        <v>133.0</v>
      </c>
      <c r="R55" s="9">
        <v>95.0</v>
      </c>
      <c r="S55" s="9">
        <v>132.0</v>
      </c>
      <c r="T55" s="9">
        <v>22.0</v>
      </c>
    </row>
    <row r="56">
      <c r="B56" s="8" t="s">
        <v>88</v>
      </c>
      <c r="C56" s="10">
        <v>1846.0</v>
      </c>
      <c r="D56" s="9">
        <v>8.0</v>
      </c>
      <c r="N56" s="9">
        <v>151.0</v>
      </c>
      <c r="O56" s="9">
        <v>2.0</v>
      </c>
      <c r="P56" s="9">
        <v>157.0</v>
      </c>
      <c r="Q56" s="9">
        <v>61.0</v>
      </c>
      <c r="R56" s="9">
        <v>115.0</v>
      </c>
      <c r="S56" s="9">
        <v>170.0</v>
      </c>
      <c r="T56" s="9">
        <v>134.0</v>
      </c>
    </row>
    <row r="57">
      <c r="B57" s="8" t="s">
        <v>89</v>
      </c>
      <c r="C57" s="10">
        <v>1540.0</v>
      </c>
      <c r="D57" s="9">
        <v>10.0</v>
      </c>
      <c r="N57" s="9">
        <v>120.0</v>
      </c>
      <c r="O57" s="9">
        <v>6.0</v>
      </c>
      <c r="P57" s="9">
        <v>93.0</v>
      </c>
      <c r="Q57" s="9">
        <v>14.0</v>
      </c>
      <c r="R57" s="9">
        <v>156.0</v>
      </c>
      <c r="S57" s="9">
        <v>30.0</v>
      </c>
      <c r="T57" s="9">
        <v>35.0</v>
      </c>
    </row>
    <row r="58">
      <c r="B58" s="8" t="s">
        <v>90</v>
      </c>
      <c r="C58" s="10">
        <v>1325.0</v>
      </c>
      <c r="D58" s="9">
        <v>5.0</v>
      </c>
      <c r="N58" s="9">
        <v>110.0</v>
      </c>
      <c r="O58" s="9">
        <v>130.0</v>
      </c>
      <c r="P58" s="9">
        <v>9.0</v>
      </c>
      <c r="Q58" s="9">
        <v>32.0</v>
      </c>
      <c r="R58" s="9">
        <v>110.0</v>
      </c>
      <c r="S58" s="9">
        <v>149.0</v>
      </c>
      <c r="T58" s="9">
        <v>199.0</v>
      </c>
    </row>
    <row r="59">
      <c r="B59" s="8" t="s">
        <v>91</v>
      </c>
      <c r="C59" s="10">
        <v>1385.0</v>
      </c>
      <c r="D59" s="9">
        <v>6.0</v>
      </c>
      <c r="N59" s="9">
        <v>90.0</v>
      </c>
      <c r="O59" s="9">
        <v>71.0</v>
      </c>
      <c r="P59" s="9">
        <v>142.0</v>
      </c>
      <c r="Q59" s="9">
        <v>35.0</v>
      </c>
      <c r="R59" s="9">
        <v>95.0</v>
      </c>
      <c r="S59" s="9">
        <v>50.0</v>
      </c>
      <c r="T59" s="9">
        <v>109.0</v>
      </c>
    </row>
    <row r="60">
      <c r="B60" s="8" t="s">
        <v>92</v>
      </c>
      <c r="C60" s="10">
        <v>6547.0</v>
      </c>
      <c r="D60" s="9">
        <v>6.0</v>
      </c>
      <c r="N60" s="9">
        <v>124.0</v>
      </c>
      <c r="O60" s="9">
        <v>151.0</v>
      </c>
      <c r="P60" s="9">
        <v>100.0</v>
      </c>
      <c r="Q60" s="9">
        <v>151.0</v>
      </c>
      <c r="R60" s="9">
        <v>136.0</v>
      </c>
      <c r="S60" s="9">
        <v>200.0</v>
      </c>
      <c r="T60" s="9">
        <v>82.0</v>
      </c>
    </row>
    <row r="61">
      <c r="B61" s="8" t="s">
        <v>93</v>
      </c>
      <c r="C61" s="10">
        <v>8753.0</v>
      </c>
      <c r="D61" s="9">
        <v>1.0</v>
      </c>
      <c r="N61" s="9">
        <v>94.0</v>
      </c>
      <c r="O61" s="9">
        <v>100.0</v>
      </c>
      <c r="P61" s="9">
        <v>168.0</v>
      </c>
      <c r="Q61" s="9">
        <v>47.0</v>
      </c>
      <c r="R61" s="9">
        <v>68.0</v>
      </c>
      <c r="S61" s="9">
        <v>124.0</v>
      </c>
      <c r="T61" s="9">
        <v>80.0</v>
      </c>
    </row>
    <row r="62">
      <c r="B62" s="8" t="s">
        <v>94</v>
      </c>
      <c r="C62" s="10">
        <v>6691.0</v>
      </c>
      <c r="D62" s="9">
        <v>2.0</v>
      </c>
      <c r="N62" s="9">
        <v>147.0</v>
      </c>
      <c r="O62" s="9">
        <v>10.0</v>
      </c>
      <c r="P62" s="9">
        <v>174.0</v>
      </c>
      <c r="Q62" s="9">
        <v>28.0</v>
      </c>
      <c r="R62" s="9">
        <v>144.0</v>
      </c>
      <c r="S62" s="9">
        <v>193.0</v>
      </c>
      <c r="T62" s="9">
        <v>35.0</v>
      </c>
    </row>
    <row r="63">
      <c r="B63" s="8" t="s">
        <v>95</v>
      </c>
      <c r="C63" s="10">
        <v>7480.0</v>
      </c>
      <c r="D63" s="9">
        <v>2.0</v>
      </c>
      <c r="N63" s="9">
        <v>141.0</v>
      </c>
      <c r="O63" s="9">
        <v>84.0</v>
      </c>
      <c r="P63" s="9">
        <v>86.0</v>
      </c>
      <c r="Q63" s="9">
        <v>121.0</v>
      </c>
      <c r="R63" s="9">
        <v>22.0</v>
      </c>
      <c r="S63" s="9">
        <v>70.0</v>
      </c>
      <c r="T63" s="9">
        <v>4.0</v>
      </c>
    </row>
    <row r="64">
      <c r="B64" s="8" t="s">
        <v>96</v>
      </c>
      <c r="C64" s="10">
        <v>3203.0</v>
      </c>
      <c r="D64" s="9">
        <v>7.0</v>
      </c>
      <c r="N64" s="9">
        <v>90.0</v>
      </c>
      <c r="O64" s="9">
        <v>195.0</v>
      </c>
      <c r="P64" s="9">
        <v>54.0</v>
      </c>
      <c r="Q64" s="9">
        <v>125.0</v>
      </c>
      <c r="R64" s="9">
        <v>186.0</v>
      </c>
      <c r="S64" s="9">
        <v>126.0</v>
      </c>
      <c r="T64" s="9">
        <v>150.0</v>
      </c>
    </row>
    <row r="65">
      <c r="B65" s="8" t="s">
        <v>97</v>
      </c>
      <c r="C65" s="10">
        <v>3331.0</v>
      </c>
      <c r="D65" s="9">
        <v>1.0</v>
      </c>
      <c r="N65" s="9">
        <v>156.0</v>
      </c>
      <c r="O65" s="9">
        <v>181.0</v>
      </c>
      <c r="P65" s="9">
        <v>93.0</v>
      </c>
      <c r="Q65" s="9">
        <v>185.0</v>
      </c>
      <c r="R65" s="9">
        <v>3.0</v>
      </c>
      <c r="S65" s="9">
        <v>195.0</v>
      </c>
      <c r="T65" s="9">
        <v>22.0</v>
      </c>
    </row>
    <row r="66">
      <c r="B66" s="8" t="s">
        <v>98</v>
      </c>
      <c r="C66" s="10">
        <v>1206.0</v>
      </c>
      <c r="D66" s="9">
        <v>7.0</v>
      </c>
      <c r="N66" s="9">
        <v>198.0</v>
      </c>
      <c r="O66" s="9">
        <v>105.0</v>
      </c>
      <c r="P66" s="9">
        <v>31.0</v>
      </c>
      <c r="Q66" s="9">
        <v>156.0</v>
      </c>
      <c r="R66" s="9">
        <v>23.0</v>
      </c>
      <c r="S66" s="9">
        <v>156.0</v>
      </c>
      <c r="T66" s="9">
        <v>145.0</v>
      </c>
    </row>
    <row r="67">
      <c r="B67" s="8" t="s">
        <v>99</v>
      </c>
      <c r="C67" s="10">
        <v>5309.0</v>
      </c>
      <c r="D67" s="9">
        <v>8.0</v>
      </c>
      <c r="N67" s="9">
        <v>191.0</v>
      </c>
      <c r="O67" s="9">
        <v>19.0</v>
      </c>
      <c r="P67" s="9">
        <v>143.0</v>
      </c>
      <c r="Q67" s="9">
        <v>168.0</v>
      </c>
      <c r="R67" s="9">
        <v>122.0</v>
      </c>
      <c r="S67" s="9">
        <v>51.0</v>
      </c>
      <c r="T67" s="9">
        <v>130.0</v>
      </c>
    </row>
    <row r="68">
      <c r="B68" s="8" t="s">
        <v>100</v>
      </c>
      <c r="C68" s="10">
        <v>7927.0</v>
      </c>
      <c r="D68" s="9">
        <v>11.0</v>
      </c>
      <c r="N68" s="9">
        <v>14.0</v>
      </c>
      <c r="O68" s="9">
        <v>57.0</v>
      </c>
      <c r="P68" s="9">
        <v>137.0</v>
      </c>
      <c r="Q68" s="9">
        <v>191.0</v>
      </c>
      <c r="R68" s="9">
        <v>47.0</v>
      </c>
      <c r="S68" s="9">
        <v>19.0</v>
      </c>
      <c r="T68" s="9">
        <v>116.0</v>
      </c>
    </row>
    <row r="69">
      <c r="B69" s="8" t="s">
        <v>101</v>
      </c>
      <c r="C69" s="10">
        <v>6776.0</v>
      </c>
      <c r="D69" s="9">
        <v>11.0</v>
      </c>
      <c r="N69" s="9">
        <v>45.0</v>
      </c>
      <c r="O69" s="9">
        <v>36.0</v>
      </c>
      <c r="P69" s="9">
        <v>149.0</v>
      </c>
      <c r="Q69" s="9">
        <v>4.0</v>
      </c>
      <c r="R69" s="9">
        <v>179.0</v>
      </c>
      <c r="S69" s="9">
        <v>97.0</v>
      </c>
      <c r="T69" s="9">
        <v>2.0</v>
      </c>
    </row>
    <row r="70">
      <c r="B70" s="8" t="s">
        <v>102</v>
      </c>
      <c r="C70" s="10">
        <v>8163.0</v>
      </c>
      <c r="D70" s="9">
        <v>12.0</v>
      </c>
      <c r="N70" s="9">
        <v>53.0</v>
      </c>
      <c r="O70" s="9">
        <v>69.0</v>
      </c>
      <c r="P70" s="9">
        <v>127.0</v>
      </c>
      <c r="Q70" s="9">
        <v>88.0</v>
      </c>
      <c r="R70" s="9">
        <v>45.0</v>
      </c>
      <c r="S70" s="9">
        <v>22.0</v>
      </c>
      <c r="T70" s="9">
        <v>12.0</v>
      </c>
    </row>
    <row r="71">
      <c r="B71" s="8" t="s">
        <v>103</v>
      </c>
      <c r="C71" s="10">
        <v>7237.0</v>
      </c>
      <c r="D71" s="9">
        <v>1.0</v>
      </c>
      <c r="N71" s="9">
        <v>194.0</v>
      </c>
      <c r="O71" s="9">
        <v>184.0</v>
      </c>
      <c r="P71" s="9">
        <v>198.0</v>
      </c>
      <c r="Q71" s="9">
        <v>20.0</v>
      </c>
      <c r="R71" s="9">
        <v>51.0</v>
      </c>
      <c r="S71" s="9">
        <v>140.0</v>
      </c>
      <c r="T71" s="9">
        <v>12.0</v>
      </c>
    </row>
    <row r="72">
      <c r="B72" s="8" t="s">
        <v>104</v>
      </c>
      <c r="C72" s="10">
        <v>6431.0</v>
      </c>
      <c r="D72" s="9">
        <v>4.0</v>
      </c>
      <c r="N72" s="9">
        <v>108.0</v>
      </c>
      <c r="O72" s="9">
        <v>62.0</v>
      </c>
      <c r="P72" s="9">
        <v>43.0</v>
      </c>
      <c r="Q72" s="9">
        <v>181.0</v>
      </c>
      <c r="R72" s="9">
        <v>43.0</v>
      </c>
      <c r="S72" s="9">
        <v>184.0</v>
      </c>
      <c r="T72" s="9">
        <v>5.0</v>
      </c>
    </row>
    <row r="73">
      <c r="B73" s="8" t="s">
        <v>105</v>
      </c>
      <c r="C73" s="10">
        <v>9836.0</v>
      </c>
      <c r="D73" s="9">
        <v>2.0</v>
      </c>
      <c r="N73" s="9">
        <v>58.0</v>
      </c>
      <c r="O73" s="9">
        <v>130.0</v>
      </c>
      <c r="P73" s="9">
        <v>116.0</v>
      </c>
      <c r="Q73" s="9">
        <v>5.0</v>
      </c>
      <c r="R73" s="9">
        <v>33.0</v>
      </c>
      <c r="S73" s="9">
        <v>148.0</v>
      </c>
      <c r="T73" s="9">
        <v>78.0</v>
      </c>
    </row>
    <row r="74">
      <c r="B74" s="8" t="s">
        <v>106</v>
      </c>
      <c r="C74" s="10">
        <v>9569.0</v>
      </c>
      <c r="D74" s="9">
        <v>3.0</v>
      </c>
      <c r="N74" s="9">
        <v>77.0</v>
      </c>
      <c r="O74" s="9">
        <v>113.0</v>
      </c>
      <c r="P74" s="9">
        <v>195.0</v>
      </c>
      <c r="Q74" s="9">
        <v>180.0</v>
      </c>
      <c r="R74" s="9">
        <v>168.0</v>
      </c>
      <c r="S74" s="9">
        <v>12.0</v>
      </c>
      <c r="T74" s="9">
        <v>165.0</v>
      </c>
    </row>
    <row r="75">
      <c r="B75" s="8" t="s">
        <v>107</v>
      </c>
      <c r="C75" s="10">
        <v>6728.0</v>
      </c>
      <c r="D75" s="9">
        <v>1.0</v>
      </c>
      <c r="N75" s="9">
        <v>184.0</v>
      </c>
      <c r="O75" s="9">
        <v>165.0</v>
      </c>
      <c r="P75" s="9">
        <v>0.0</v>
      </c>
      <c r="Q75" s="9">
        <v>137.0</v>
      </c>
      <c r="R75" s="9">
        <v>179.0</v>
      </c>
      <c r="S75" s="9">
        <v>98.0</v>
      </c>
      <c r="T75" s="9">
        <v>177.0</v>
      </c>
    </row>
    <row r="76">
      <c r="B76" s="8" t="s">
        <v>108</v>
      </c>
      <c r="C76" s="10">
        <v>5084.0</v>
      </c>
      <c r="D76" s="9">
        <v>4.0</v>
      </c>
      <c r="N76" s="9">
        <v>179.0</v>
      </c>
      <c r="O76" s="9">
        <v>90.0</v>
      </c>
      <c r="P76" s="9">
        <v>197.0</v>
      </c>
      <c r="Q76" s="9">
        <v>179.0</v>
      </c>
      <c r="R76" s="9">
        <v>115.0</v>
      </c>
      <c r="S76" s="9">
        <v>150.0</v>
      </c>
      <c r="T76" s="9">
        <v>1.0</v>
      </c>
    </row>
    <row r="77">
      <c r="B77" s="8" t="s">
        <v>109</v>
      </c>
      <c r="C77" s="10">
        <v>5457.0</v>
      </c>
      <c r="D77" s="9">
        <v>4.0</v>
      </c>
      <c r="N77" s="9">
        <v>27.0</v>
      </c>
      <c r="O77" s="9">
        <v>53.0</v>
      </c>
      <c r="P77" s="9">
        <v>92.0</v>
      </c>
      <c r="Q77" s="9">
        <v>136.0</v>
      </c>
      <c r="R77" s="9">
        <v>100.0</v>
      </c>
      <c r="S77" s="9">
        <v>137.0</v>
      </c>
      <c r="T77" s="9">
        <v>138.0</v>
      </c>
    </row>
    <row r="78">
      <c r="B78" s="8" t="s">
        <v>110</v>
      </c>
      <c r="C78" s="10">
        <v>8974.0</v>
      </c>
      <c r="D78" s="9">
        <v>2.0</v>
      </c>
      <c r="N78" s="9">
        <v>117.0</v>
      </c>
      <c r="O78" s="9">
        <v>191.0</v>
      </c>
      <c r="P78" s="9">
        <v>166.0</v>
      </c>
      <c r="Q78" s="9">
        <v>126.0</v>
      </c>
      <c r="R78" s="9">
        <v>149.0</v>
      </c>
      <c r="S78" s="9">
        <v>133.0</v>
      </c>
      <c r="T78" s="9">
        <v>89.0</v>
      </c>
    </row>
    <row r="79">
      <c r="B79" s="8" t="s">
        <v>111</v>
      </c>
      <c r="C79" s="10">
        <v>2477.0</v>
      </c>
      <c r="D79" s="9">
        <v>10.0</v>
      </c>
      <c r="N79" s="9">
        <v>162.0</v>
      </c>
      <c r="O79" s="9">
        <v>103.0</v>
      </c>
      <c r="P79" s="9">
        <v>156.0</v>
      </c>
      <c r="Q79" s="9">
        <v>20.0</v>
      </c>
      <c r="R79" s="9">
        <v>93.0</v>
      </c>
      <c r="S79" s="9">
        <v>5.0</v>
      </c>
      <c r="T79" s="9">
        <v>171.0</v>
      </c>
    </row>
    <row r="80">
      <c r="B80" s="8" t="s">
        <v>112</v>
      </c>
      <c r="C80" s="10">
        <v>6987.0</v>
      </c>
      <c r="D80" s="9">
        <v>6.0</v>
      </c>
      <c r="N80" s="9">
        <v>23.0</v>
      </c>
      <c r="O80" s="9">
        <v>13.0</v>
      </c>
      <c r="P80" s="9">
        <v>51.0</v>
      </c>
      <c r="Q80" s="9">
        <v>70.0</v>
      </c>
      <c r="R80" s="9">
        <v>158.0</v>
      </c>
      <c r="S80" s="9">
        <v>106.0</v>
      </c>
      <c r="T80" s="9">
        <v>23.0</v>
      </c>
    </row>
    <row r="81">
      <c r="B81" s="8" t="s">
        <v>113</v>
      </c>
      <c r="C81" s="10">
        <v>4369.0</v>
      </c>
      <c r="D81" s="9">
        <v>2.0</v>
      </c>
      <c r="N81" s="9">
        <v>177.0</v>
      </c>
      <c r="O81" s="9">
        <v>154.0</v>
      </c>
      <c r="P81" s="9">
        <v>4.0</v>
      </c>
      <c r="Q81" s="9">
        <v>38.0</v>
      </c>
      <c r="R81" s="9">
        <v>38.0</v>
      </c>
      <c r="S81" s="9">
        <v>42.0</v>
      </c>
      <c r="T81" s="9">
        <v>134.0</v>
      </c>
    </row>
    <row r="82">
      <c r="B82" s="8" t="s">
        <v>114</v>
      </c>
      <c r="C82" s="10">
        <v>5685.0</v>
      </c>
      <c r="D82" s="9">
        <v>4.0</v>
      </c>
      <c r="N82" s="9">
        <v>27.0</v>
      </c>
      <c r="O82" s="9">
        <v>187.0</v>
      </c>
      <c r="P82" s="9">
        <v>130.0</v>
      </c>
      <c r="Q82" s="9">
        <v>63.0</v>
      </c>
      <c r="R82" s="9">
        <v>104.0</v>
      </c>
      <c r="S82" s="9">
        <v>177.0</v>
      </c>
      <c r="T82" s="9">
        <v>28.0</v>
      </c>
    </row>
    <row r="83">
      <c r="B83" s="8" t="s">
        <v>115</v>
      </c>
      <c r="C83" s="10">
        <v>2156.0</v>
      </c>
      <c r="D83" s="9">
        <v>2.0</v>
      </c>
      <c r="N83" s="9">
        <v>170.0</v>
      </c>
      <c r="O83" s="9">
        <v>93.0</v>
      </c>
      <c r="P83" s="9">
        <v>75.0</v>
      </c>
      <c r="Q83" s="9">
        <v>98.0</v>
      </c>
      <c r="R83" s="9">
        <v>109.0</v>
      </c>
      <c r="S83" s="9">
        <v>184.0</v>
      </c>
      <c r="T83" s="9">
        <v>146.0</v>
      </c>
    </row>
    <row r="84">
      <c r="B84" s="8" t="s">
        <v>116</v>
      </c>
      <c r="C84" s="10">
        <v>6174.0</v>
      </c>
      <c r="D84" s="9">
        <v>1.0</v>
      </c>
      <c r="N84" s="9">
        <v>159.0</v>
      </c>
      <c r="O84" s="9">
        <v>200.0</v>
      </c>
      <c r="P84" s="9">
        <v>171.0</v>
      </c>
      <c r="Q84" s="9">
        <v>191.0</v>
      </c>
      <c r="R84" s="9">
        <v>48.0</v>
      </c>
      <c r="S84" s="9">
        <v>113.0</v>
      </c>
      <c r="T84" s="9">
        <v>172.0</v>
      </c>
    </row>
    <row r="85">
      <c r="B85" s="8" t="s">
        <v>117</v>
      </c>
      <c r="C85" s="10">
        <v>2232.0</v>
      </c>
      <c r="D85" s="9">
        <v>1.0</v>
      </c>
      <c r="N85" s="9">
        <v>100.0</v>
      </c>
      <c r="O85" s="9">
        <v>168.0</v>
      </c>
      <c r="P85" s="9">
        <v>179.0</v>
      </c>
      <c r="Q85" s="9">
        <v>79.0</v>
      </c>
      <c r="R85" s="9">
        <v>146.0</v>
      </c>
      <c r="S85" s="9">
        <v>16.0</v>
      </c>
      <c r="T85" s="9">
        <v>138.0</v>
      </c>
    </row>
    <row r="86">
      <c r="B86" s="8" t="s">
        <v>118</v>
      </c>
      <c r="C86" s="10">
        <v>3977.0</v>
      </c>
      <c r="D86" s="9">
        <v>9.0</v>
      </c>
      <c r="N86" s="9">
        <v>114.0</v>
      </c>
      <c r="O86" s="9">
        <v>181.0</v>
      </c>
      <c r="P86" s="9">
        <v>116.0</v>
      </c>
      <c r="Q86" s="9">
        <v>160.0</v>
      </c>
      <c r="R86" s="9">
        <v>129.0</v>
      </c>
      <c r="S86" s="9">
        <v>12.0</v>
      </c>
      <c r="T86" s="9">
        <v>90.0</v>
      </c>
    </row>
    <row r="87">
      <c r="B87" s="8" t="s">
        <v>119</v>
      </c>
      <c r="C87" s="10">
        <v>2721.0</v>
      </c>
      <c r="D87" s="9">
        <v>10.0</v>
      </c>
      <c r="N87" s="9">
        <v>130.0</v>
      </c>
      <c r="O87" s="9">
        <v>85.0</v>
      </c>
      <c r="P87" s="9">
        <v>63.0</v>
      </c>
      <c r="Q87" s="9">
        <v>92.0</v>
      </c>
      <c r="R87" s="9">
        <v>164.0</v>
      </c>
      <c r="S87" s="9">
        <v>142.0</v>
      </c>
      <c r="T87" s="9">
        <v>15.0</v>
      </c>
    </row>
    <row r="88">
      <c r="B88" s="8" t="s">
        <v>120</v>
      </c>
      <c r="C88" s="10">
        <v>6435.0</v>
      </c>
      <c r="D88" s="9">
        <v>8.0</v>
      </c>
      <c r="N88" s="9">
        <v>168.0</v>
      </c>
      <c r="O88" s="9">
        <v>70.0</v>
      </c>
      <c r="P88" s="9">
        <v>43.0</v>
      </c>
      <c r="Q88" s="9">
        <v>117.0</v>
      </c>
      <c r="R88" s="9">
        <v>177.0</v>
      </c>
      <c r="S88" s="9">
        <v>31.0</v>
      </c>
      <c r="T88" s="9">
        <v>184.0</v>
      </c>
    </row>
    <row r="89">
      <c r="B89" s="8" t="s">
        <v>121</v>
      </c>
      <c r="C89" s="10">
        <v>5775.0</v>
      </c>
      <c r="D89" s="9">
        <v>4.0</v>
      </c>
      <c r="N89" s="9">
        <v>166.0</v>
      </c>
      <c r="O89" s="9">
        <v>184.0</v>
      </c>
      <c r="P89" s="9">
        <v>41.0</v>
      </c>
      <c r="Q89" s="9">
        <v>135.0</v>
      </c>
      <c r="R89" s="9">
        <v>188.0</v>
      </c>
      <c r="S89" s="9">
        <v>88.0</v>
      </c>
      <c r="T89" s="9">
        <v>63.0</v>
      </c>
    </row>
    <row r="90">
      <c r="B90" s="8" t="s">
        <v>122</v>
      </c>
      <c r="C90" s="10">
        <v>2749.0</v>
      </c>
      <c r="D90" s="9">
        <v>2.0</v>
      </c>
      <c r="N90" s="9">
        <v>187.0</v>
      </c>
      <c r="O90" s="9">
        <v>96.0</v>
      </c>
      <c r="P90" s="9">
        <v>21.0</v>
      </c>
      <c r="Q90" s="9">
        <v>84.0</v>
      </c>
      <c r="R90" s="9">
        <v>19.0</v>
      </c>
      <c r="S90" s="9">
        <v>40.0</v>
      </c>
      <c r="T90" s="9">
        <v>12.0</v>
      </c>
    </row>
    <row r="91">
      <c r="B91" s="8" t="s">
        <v>123</v>
      </c>
      <c r="C91" s="10">
        <v>1282.0</v>
      </c>
      <c r="D91" s="9">
        <v>8.0</v>
      </c>
      <c r="N91" s="9">
        <v>70.0</v>
      </c>
      <c r="O91" s="9">
        <v>172.0</v>
      </c>
      <c r="P91" s="9">
        <v>160.0</v>
      </c>
      <c r="Q91" s="9">
        <v>103.0</v>
      </c>
      <c r="R91" s="9">
        <v>157.0</v>
      </c>
      <c r="S91" s="9">
        <v>87.0</v>
      </c>
      <c r="T91" s="9">
        <v>112.0</v>
      </c>
    </row>
    <row r="92">
      <c r="B92" s="8" t="s">
        <v>124</v>
      </c>
      <c r="C92" s="10">
        <v>1841.0</v>
      </c>
      <c r="D92" s="9">
        <v>7.0</v>
      </c>
      <c r="N92" s="9">
        <v>185.0</v>
      </c>
      <c r="O92" s="9">
        <v>46.0</v>
      </c>
      <c r="P92" s="9">
        <v>111.0</v>
      </c>
      <c r="Q92" s="9">
        <v>101.0</v>
      </c>
      <c r="R92" s="9">
        <v>159.0</v>
      </c>
      <c r="S92" s="9">
        <v>98.0</v>
      </c>
      <c r="T92" s="9">
        <v>189.0</v>
      </c>
    </row>
    <row r="93">
      <c r="B93" s="8" t="s">
        <v>125</v>
      </c>
      <c r="C93" s="10">
        <v>5246.0</v>
      </c>
      <c r="D93" s="9">
        <v>11.0</v>
      </c>
      <c r="N93" s="9">
        <v>33.0</v>
      </c>
      <c r="O93" s="9">
        <v>193.0</v>
      </c>
      <c r="P93" s="9">
        <v>176.0</v>
      </c>
      <c r="Q93" s="9">
        <v>80.0</v>
      </c>
      <c r="R93" s="9">
        <v>170.0</v>
      </c>
      <c r="S93" s="9">
        <v>26.0</v>
      </c>
      <c r="T93" s="9">
        <v>81.0</v>
      </c>
    </row>
    <row r="94">
      <c r="B94" s="8" t="s">
        <v>126</v>
      </c>
      <c r="C94" s="10">
        <v>6624.0</v>
      </c>
      <c r="D94" s="9">
        <v>4.0</v>
      </c>
      <c r="N94" s="9">
        <v>188.0</v>
      </c>
      <c r="O94" s="9">
        <v>195.0</v>
      </c>
      <c r="P94" s="9">
        <v>58.0</v>
      </c>
      <c r="Q94" s="9">
        <v>196.0</v>
      </c>
      <c r="R94" s="9">
        <v>22.0</v>
      </c>
      <c r="S94" s="9">
        <v>76.0</v>
      </c>
      <c r="T94" s="9">
        <v>179.0</v>
      </c>
    </row>
    <row r="95">
      <c r="B95" s="8" t="s">
        <v>127</v>
      </c>
      <c r="C95" s="10">
        <v>9537.0</v>
      </c>
      <c r="D95" s="9">
        <v>8.0</v>
      </c>
      <c r="N95" s="9">
        <v>67.0</v>
      </c>
      <c r="O95" s="9">
        <v>171.0</v>
      </c>
      <c r="P95" s="9">
        <v>88.0</v>
      </c>
      <c r="Q95" s="9">
        <v>36.0</v>
      </c>
      <c r="R95" s="9">
        <v>121.0</v>
      </c>
      <c r="S95" s="9">
        <v>199.0</v>
      </c>
      <c r="T95" s="9">
        <v>175.0</v>
      </c>
    </row>
    <row r="96">
      <c r="B96" s="8" t="s">
        <v>128</v>
      </c>
      <c r="C96" s="10">
        <v>1801.0</v>
      </c>
      <c r="D96" s="9">
        <v>3.0</v>
      </c>
      <c r="N96" s="9">
        <v>25.0</v>
      </c>
      <c r="O96" s="9">
        <v>178.0</v>
      </c>
      <c r="P96" s="9">
        <v>192.0</v>
      </c>
      <c r="Q96" s="9">
        <v>165.0</v>
      </c>
      <c r="R96" s="9">
        <v>30.0</v>
      </c>
      <c r="S96" s="9">
        <v>49.0</v>
      </c>
      <c r="T96" s="9">
        <v>182.0</v>
      </c>
    </row>
    <row r="97">
      <c r="B97" s="8" t="s">
        <v>129</v>
      </c>
      <c r="C97" s="10">
        <v>2795.0</v>
      </c>
      <c r="D97" s="9">
        <v>4.0</v>
      </c>
      <c r="N97" s="9">
        <v>127.0</v>
      </c>
      <c r="O97" s="9">
        <v>91.0</v>
      </c>
      <c r="P97" s="9">
        <v>161.0</v>
      </c>
      <c r="Q97" s="9">
        <v>132.0</v>
      </c>
      <c r="R97" s="9">
        <v>62.0</v>
      </c>
      <c r="S97" s="9">
        <v>32.0</v>
      </c>
      <c r="T97" s="9">
        <v>168.0</v>
      </c>
    </row>
    <row r="98">
      <c r="B98" s="8" t="s">
        <v>130</v>
      </c>
      <c r="C98" s="10">
        <v>9671.0</v>
      </c>
      <c r="D98" s="9">
        <v>5.0</v>
      </c>
      <c r="N98" s="9">
        <v>165.0</v>
      </c>
      <c r="O98" s="9">
        <v>127.0</v>
      </c>
      <c r="P98" s="9">
        <v>154.0</v>
      </c>
      <c r="Q98" s="9">
        <v>53.0</v>
      </c>
      <c r="R98" s="9">
        <v>11.0</v>
      </c>
      <c r="S98" s="9">
        <v>0.0</v>
      </c>
      <c r="T98" s="9">
        <v>157.0</v>
      </c>
    </row>
    <row r="99">
      <c r="B99" s="8" t="s">
        <v>131</v>
      </c>
      <c r="C99" s="10">
        <v>5602.0</v>
      </c>
      <c r="D99" s="9">
        <v>2.0</v>
      </c>
      <c r="N99" s="9">
        <v>154.0</v>
      </c>
      <c r="O99" s="9">
        <v>36.0</v>
      </c>
      <c r="P99" s="9">
        <v>186.0</v>
      </c>
      <c r="Q99" s="9">
        <v>52.0</v>
      </c>
      <c r="R99" s="9">
        <v>144.0</v>
      </c>
      <c r="S99" s="9">
        <v>97.0</v>
      </c>
      <c r="T99" s="9">
        <v>101.0</v>
      </c>
    </row>
    <row r="100">
      <c r="B100" s="8" t="s">
        <v>132</v>
      </c>
      <c r="C100" s="10">
        <v>4329.0</v>
      </c>
      <c r="D100" s="9">
        <v>12.0</v>
      </c>
      <c r="N100" s="9">
        <v>99.0</v>
      </c>
      <c r="O100" s="9">
        <v>148.0</v>
      </c>
      <c r="P100" s="9">
        <v>52.0</v>
      </c>
      <c r="Q100" s="9">
        <v>126.0</v>
      </c>
      <c r="R100" s="9">
        <v>78.0</v>
      </c>
      <c r="S100" s="9">
        <v>130.0</v>
      </c>
      <c r="T100" s="9">
        <v>35.0</v>
      </c>
    </row>
    <row r="101">
      <c r="B101" s="8" t="s">
        <v>133</v>
      </c>
      <c r="C101" s="10">
        <v>7135.0</v>
      </c>
      <c r="D101" s="9">
        <v>9.0</v>
      </c>
      <c r="N101" s="9">
        <v>186.0</v>
      </c>
      <c r="O101" s="9">
        <v>86.0</v>
      </c>
      <c r="P101" s="9">
        <v>100.0</v>
      </c>
      <c r="Q101" s="9">
        <v>63.0</v>
      </c>
      <c r="R101" s="9">
        <v>0.0</v>
      </c>
      <c r="S101" s="9">
        <v>187.0</v>
      </c>
      <c r="T101" s="9">
        <v>132.0</v>
      </c>
    </row>
    <row r="102">
      <c r="B102" s="8" t="s">
        <v>134</v>
      </c>
      <c r="C102" s="10">
        <v>5760.0</v>
      </c>
      <c r="D102" s="9">
        <v>8.0</v>
      </c>
      <c r="N102" s="9">
        <v>48.0</v>
      </c>
      <c r="O102" s="9">
        <v>182.0</v>
      </c>
      <c r="P102" s="9">
        <v>171.0</v>
      </c>
      <c r="Q102" s="9">
        <v>135.0</v>
      </c>
      <c r="R102" s="9">
        <v>142.0</v>
      </c>
      <c r="S102" s="9">
        <v>70.0</v>
      </c>
      <c r="T102" s="9">
        <v>120.0</v>
      </c>
    </row>
    <row r="103">
      <c r="B103" s="8" t="s">
        <v>135</v>
      </c>
      <c r="C103" s="10">
        <v>2935.0</v>
      </c>
      <c r="D103" s="9">
        <v>10.0</v>
      </c>
      <c r="N103" s="9">
        <v>91.0</v>
      </c>
      <c r="O103" s="9">
        <v>196.0</v>
      </c>
      <c r="P103" s="9">
        <v>47.0</v>
      </c>
      <c r="Q103" s="9">
        <v>78.0</v>
      </c>
      <c r="R103" s="9">
        <v>65.0</v>
      </c>
      <c r="S103" s="9">
        <v>139.0</v>
      </c>
      <c r="T103" s="9">
        <v>135.0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4" width="21.13"/>
    <col customWidth="1" min="5" max="5" width="14.13"/>
    <col customWidth="1" min="6" max="6" width="7.0"/>
    <col customWidth="1" min="7" max="7" width="8.25"/>
    <col customWidth="1" min="8" max="8" width="8.5"/>
    <col customWidth="1" min="9" max="9" width="16.75"/>
    <col customWidth="1" min="10" max="10" width="13.88"/>
    <col customWidth="1" min="11" max="11" width="21.13"/>
    <col customWidth="1" min="12" max="12" width="22.38"/>
    <col customWidth="1" min="13" max="14" width="21.13"/>
    <col customWidth="1" min="22" max="22" width="16.0"/>
  </cols>
  <sheetData>
    <row r="2">
      <c r="O2" s="1" t="s">
        <v>0</v>
      </c>
    </row>
    <row r="3">
      <c r="A3" s="4"/>
      <c r="B3" s="1" t="s">
        <v>5</v>
      </c>
      <c r="C3" s="1" t="s">
        <v>8</v>
      </c>
      <c r="D3" s="1" t="s">
        <v>11</v>
      </c>
      <c r="E3" s="5" t="s">
        <v>13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1" t="s">
        <v>24</v>
      </c>
      <c r="O3" s="7">
        <v>44927.0</v>
      </c>
      <c r="P3" s="7">
        <v>44958.0</v>
      </c>
      <c r="Q3" s="7">
        <v>44986.0</v>
      </c>
      <c r="R3" s="7">
        <v>45017.0</v>
      </c>
      <c r="S3" s="7">
        <v>45047.0</v>
      </c>
      <c r="T3" s="7">
        <v>45078.0</v>
      </c>
      <c r="U3" s="11">
        <v>45108.0</v>
      </c>
      <c r="V3" s="11" t="s">
        <v>34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B4" s="8" t="s">
        <v>26</v>
      </c>
      <c r="C4" s="10">
        <v>3249.0</v>
      </c>
      <c r="D4" s="9">
        <v>9.0</v>
      </c>
      <c r="E4" s="12">
        <v>0.95</v>
      </c>
      <c r="F4" s="13">
        <f>AVERAGE(R4:T4)</f>
        <v>123.3333333</v>
      </c>
      <c r="G4" s="13">
        <f>STDEV(R4:T4)</f>
        <v>28.30783166</v>
      </c>
      <c r="H4" s="14">
        <v>1.65</v>
      </c>
      <c r="I4" s="15">
        <v>2.0</v>
      </c>
      <c r="J4" s="16">
        <f>H4*G4*SQRT(I4)</f>
        <v>66.0549771</v>
      </c>
      <c r="K4" s="16">
        <f>N4+J4</f>
        <v>97.0549771</v>
      </c>
      <c r="L4" s="13">
        <f>K4*D4</f>
        <v>873.4947939</v>
      </c>
      <c r="M4" s="16">
        <f>roundup(L4/42,0)</f>
        <v>21</v>
      </c>
      <c r="N4" s="9">
        <v>31.0</v>
      </c>
      <c r="O4" s="9">
        <v>74.0</v>
      </c>
      <c r="P4" s="9">
        <v>114.0</v>
      </c>
      <c r="Q4" s="9">
        <v>174.0</v>
      </c>
      <c r="R4" s="9">
        <v>156.0</v>
      </c>
      <c r="S4" s="9">
        <v>108.0</v>
      </c>
      <c r="T4" s="9">
        <v>106.0</v>
      </c>
      <c r="U4" s="13">
        <f>average(O4:T4)</f>
        <v>122</v>
      </c>
      <c r="V4" s="17">
        <f>U4*6*C4</f>
        <v>2378268</v>
      </c>
    </row>
    <row r="5">
      <c r="B5" s="18" t="s">
        <v>30</v>
      </c>
      <c r="C5" s="19">
        <v>7217.0</v>
      </c>
      <c r="D5" s="9">
        <v>1.0</v>
      </c>
      <c r="E5" s="21"/>
      <c r="F5" s="22"/>
      <c r="G5" s="22"/>
      <c r="H5" s="24"/>
      <c r="I5" s="25"/>
      <c r="J5" s="27"/>
      <c r="K5" s="28"/>
      <c r="L5" s="29"/>
      <c r="M5" s="31"/>
      <c r="N5" s="9">
        <v>122.0</v>
      </c>
      <c r="O5" s="9">
        <v>115.0</v>
      </c>
      <c r="P5" s="9">
        <v>117.0</v>
      </c>
      <c r="Q5" s="9">
        <v>58.0</v>
      </c>
      <c r="R5" s="9">
        <v>56.0</v>
      </c>
      <c r="S5" s="9">
        <v>2.0</v>
      </c>
      <c r="T5" s="9">
        <v>174.0</v>
      </c>
      <c r="U5" s="29"/>
      <c r="V5" s="28"/>
    </row>
    <row r="6">
      <c r="B6" s="18" t="s">
        <v>31</v>
      </c>
      <c r="C6" s="19">
        <v>4873.0</v>
      </c>
      <c r="D6" s="9">
        <v>4.0</v>
      </c>
      <c r="E6" s="21"/>
      <c r="F6" s="22"/>
      <c r="G6" s="22"/>
      <c r="H6" s="24"/>
      <c r="I6" s="28"/>
      <c r="J6" s="27"/>
      <c r="K6" s="28"/>
      <c r="L6" s="29"/>
      <c r="M6" s="31"/>
      <c r="N6" s="9">
        <v>146.0</v>
      </c>
      <c r="O6" s="9">
        <v>102.0</v>
      </c>
      <c r="P6" s="9">
        <v>77.0</v>
      </c>
      <c r="Q6" s="9">
        <v>140.0</v>
      </c>
      <c r="R6" s="9">
        <v>192.0</v>
      </c>
      <c r="S6" s="9">
        <v>133.0</v>
      </c>
      <c r="T6" s="9">
        <v>101.0</v>
      </c>
      <c r="U6" s="29"/>
      <c r="V6" s="28"/>
    </row>
    <row r="7">
      <c r="B7" s="18" t="s">
        <v>32</v>
      </c>
      <c r="C7" s="19">
        <v>4994.0</v>
      </c>
      <c r="D7" s="9">
        <v>9.0</v>
      </c>
      <c r="E7" s="28"/>
      <c r="F7" s="28"/>
      <c r="G7" s="22"/>
      <c r="H7" s="22"/>
      <c r="I7" s="28"/>
      <c r="J7" s="27"/>
      <c r="K7" s="28"/>
      <c r="L7" s="29"/>
      <c r="M7" s="31"/>
      <c r="N7" s="9">
        <v>61.0</v>
      </c>
      <c r="O7" s="9">
        <v>116.0</v>
      </c>
      <c r="P7" s="9">
        <v>10.0</v>
      </c>
      <c r="Q7" s="9">
        <v>59.0</v>
      </c>
      <c r="R7" s="9">
        <v>167.0</v>
      </c>
      <c r="S7" s="9">
        <v>174.0</v>
      </c>
      <c r="T7" s="9">
        <v>103.0</v>
      </c>
      <c r="U7" s="29"/>
      <c r="V7" s="28"/>
    </row>
    <row r="8">
      <c r="B8" s="18" t="s">
        <v>35</v>
      </c>
      <c r="C8" s="19">
        <v>6773.0</v>
      </c>
      <c r="D8" s="9">
        <v>2.0</v>
      </c>
      <c r="E8" s="37"/>
      <c r="F8" s="22"/>
      <c r="G8" s="22"/>
      <c r="H8" s="22"/>
      <c r="I8" s="28"/>
      <c r="J8" s="27"/>
      <c r="K8" s="28"/>
      <c r="L8" s="29"/>
      <c r="M8" s="31"/>
      <c r="N8" s="9">
        <v>156.0</v>
      </c>
      <c r="O8" s="9">
        <v>83.0</v>
      </c>
      <c r="P8" s="9">
        <v>33.0</v>
      </c>
      <c r="Q8" s="9">
        <v>160.0</v>
      </c>
      <c r="R8" s="9">
        <v>136.0</v>
      </c>
      <c r="S8" s="9">
        <v>6.0</v>
      </c>
      <c r="T8" s="9">
        <v>23.0</v>
      </c>
      <c r="U8" s="29"/>
      <c r="V8" s="28"/>
    </row>
    <row r="9">
      <c r="B9" s="18" t="s">
        <v>36</v>
      </c>
      <c r="C9" s="19">
        <v>6076.0</v>
      </c>
      <c r="D9" s="9">
        <v>8.0</v>
      </c>
      <c r="E9" s="31"/>
      <c r="F9" s="31"/>
      <c r="G9" s="39"/>
      <c r="H9" s="31"/>
      <c r="I9" s="31"/>
      <c r="J9" s="31"/>
      <c r="K9" s="31"/>
      <c r="L9" s="31"/>
      <c r="M9" s="31"/>
      <c r="N9" s="9">
        <v>161.0</v>
      </c>
      <c r="O9" s="9">
        <v>128.0</v>
      </c>
      <c r="P9" s="9">
        <v>131.0</v>
      </c>
      <c r="Q9" s="9">
        <v>198.0</v>
      </c>
      <c r="R9" s="9">
        <v>127.0</v>
      </c>
      <c r="S9" s="9">
        <v>24.0</v>
      </c>
      <c r="T9" s="9">
        <v>135.0</v>
      </c>
      <c r="U9" s="29"/>
      <c r="V9" s="28"/>
    </row>
    <row r="10">
      <c r="B10" s="18" t="s">
        <v>37</v>
      </c>
      <c r="C10" s="19">
        <v>7636.0</v>
      </c>
      <c r="D10" s="9">
        <v>5.0</v>
      </c>
      <c r="E10" s="31"/>
      <c r="F10" s="31"/>
      <c r="G10" s="31"/>
      <c r="H10" s="31"/>
      <c r="I10" s="31"/>
      <c r="J10" s="31"/>
      <c r="K10" s="31"/>
      <c r="L10" s="31"/>
      <c r="M10" s="31"/>
      <c r="N10" s="9">
        <v>181.0</v>
      </c>
      <c r="O10" s="9">
        <v>25.0</v>
      </c>
      <c r="P10" s="9">
        <v>162.0</v>
      </c>
      <c r="Q10" s="9">
        <v>85.0</v>
      </c>
      <c r="R10" s="9">
        <v>179.0</v>
      </c>
      <c r="S10" s="9">
        <v>10.0</v>
      </c>
      <c r="T10" s="9">
        <v>108.0</v>
      </c>
      <c r="U10" s="29"/>
      <c r="V10" s="28"/>
    </row>
    <row r="11">
      <c r="B11" s="18" t="s">
        <v>39</v>
      </c>
      <c r="C11" s="19">
        <v>2458.0</v>
      </c>
      <c r="D11" s="9">
        <v>5.0</v>
      </c>
      <c r="E11" s="31"/>
      <c r="F11" s="31"/>
      <c r="G11" s="31"/>
      <c r="H11" s="31"/>
      <c r="I11" s="31"/>
      <c r="J11" s="31"/>
      <c r="K11" s="31"/>
      <c r="L11" s="31"/>
      <c r="M11" s="31"/>
      <c r="N11" s="9">
        <v>175.0</v>
      </c>
      <c r="O11" s="9">
        <v>139.0</v>
      </c>
      <c r="P11" s="9">
        <v>61.0</v>
      </c>
      <c r="Q11" s="9">
        <v>164.0</v>
      </c>
      <c r="R11" s="9">
        <v>157.0</v>
      </c>
      <c r="S11" s="9">
        <v>152.0</v>
      </c>
      <c r="T11" s="9">
        <v>130.0</v>
      </c>
      <c r="U11" s="29"/>
      <c r="V11" s="28"/>
    </row>
    <row r="12">
      <c r="B12" s="18" t="s">
        <v>40</v>
      </c>
      <c r="C12" s="19">
        <v>1577.0</v>
      </c>
      <c r="D12" s="9">
        <v>12.0</v>
      </c>
      <c r="E12" s="31"/>
      <c r="F12" s="31"/>
      <c r="G12" s="31"/>
      <c r="H12" s="31"/>
      <c r="I12" s="31"/>
      <c r="J12" s="31"/>
      <c r="K12" s="31"/>
      <c r="L12" s="31"/>
      <c r="M12" s="31"/>
      <c r="N12" s="9">
        <v>132.0</v>
      </c>
      <c r="O12" s="9">
        <v>117.0</v>
      </c>
      <c r="P12" s="9">
        <v>132.0</v>
      </c>
      <c r="Q12" s="9">
        <v>123.0</v>
      </c>
      <c r="R12" s="9">
        <v>27.0</v>
      </c>
      <c r="S12" s="9">
        <v>131.0</v>
      </c>
      <c r="T12" s="9">
        <v>81.0</v>
      </c>
      <c r="U12" s="29"/>
      <c r="V12" s="28"/>
    </row>
    <row r="13">
      <c r="B13" s="18" t="s">
        <v>41</v>
      </c>
      <c r="C13" s="19">
        <v>2070.0</v>
      </c>
      <c r="D13" s="9">
        <v>5.0</v>
      </c>
      <c r="E13" s="31"/>
      <c r="F13" s="31"/>
      <c r="G13" s="31"/>
      <c r="H13" s="31"/>
      <c r="I13" s="31"/>
      <c r="J13" s="31"/>
      <c r="K13" s="31"/>
      <c r="L13" s="31"/>
      <c r="M13" s="31"/>
      <c r="N13" s="9">
        <v>21.0</v>
      </c>
      <c r="O13" s="9">
        <v>184.0</v>
      </c>
      <c r="P13" s="9">
        <v>50.0</v>
      </c>
      <c r="Q13" s="9">
        <v>58.0</v>
      </c>
      <c r="R13" s="9">
        <v>89.0</v>
      </c>
      <c r="S13" s="9">
        <v>57.0</v>
      </c>
      <c r="T13" s="9">
        <v>14.0</v>
      </c>
      <c r="U13" s="29"/>
      <c r="V13" s="28"/>
    </row>
    <row r="14">
      <c r="B14" s="18" t="s">
        <v>43</v>
      </c>
      <c r="C14" s="19">
        <v>1154.0</v>
      </c>
      <c r="D14" s="9">
        <v>11.0</v>
      </c>
      <c r="E14" s="31"/>
      <c r="F14" s="31"/>
      <c r="G14" s="31"/>
      <c r="H14" s="31"/>
      <c r="I14" s="31"/>
      <c r="J14" s="31"/>
      <c r="K14" s="31"/>
      <c r="L14" s="31"/>
      <c r="M14" s="31"/>
      <c r="N14" s="9">
        <v>166.0</v>
      </c>
      <c r="O14" s="9">
        <v>104.0</v>
      </c>
      <c r="P14" s="9">
        <v>1.0</v>
      </c>
      <c r="Q14" s="9">
        <v>2.0</v>
      </c>
      <c r="R14" s="9">
        <v>70.0</v>
      </c>
      <c r="S14" s="9">
        <v>22.0</v>
      </c>
      <c r="T14" s="9">
        <v>85.0</v>
      </c>
      <c r="U14" s="29"/>
      <c r="V14" s="28"/>
    </row>
    <row r="15">
      <c r="B15" s="18" t="s">
        <v>44</v>
      </c>
      <c r="C15" s="19">
        <v>8113.0</v>
      </c>
      <c r="D15" s="9">
        <v>3.0</v>
      </c>
      <c r="E15" s="31"/>
      <c r="F15" s="31"/>
      <c r="G15" s="31"/>
      <c r="H15" s="31"/>
      <c r="I15" s="31"/>
      <c r="J15" s="31"/>
      <c r="K15" s="31"/>
      <c r="L15" s="31"/>
      <c r="M15" s="31"/>
      <c r="N15" s="9">
        <v>123.0</v>
      </c>
      <c r="O15" s="9">
        <v>11.0</v>
      </c>
      <c r="P15" s="9">
        <v>165.0</v>
      </c>
      <c r="Q15" s="9">
        <v>141.0</v>
      </c>
      <c r="R15" s="9">
        <v>148.0</v>
      </c>
      <c r="S15" s="9">
        <v>61.0</v>
      </c>
      <c r="T15" s="9">
        <v>51.0</v>
      </c>
      <c r="U15" s="29"/>
      <c r="V15" s="28"/>
    </row>
    <row r="16">
      <c r="B16" s="18" t="s">
        <v>45</v>
      </c>
      <c r="C16" s="19">
        <v>2148.0</v>
      </c>
      <c r="D16" s="9">
        <v>5.0</v>
      </c>
      <c r="E16" s="31"/>
      <c r="F16" s="31"/>
      <c r="G16" s="31"/>
      <c r="H16" s="31"/>
      <c r="I16" s="31"/>
      <c r="J16" s="31"/>
      <c r="K16" s="31"/>
      <c r="L16" s="31"/>
      <c r="M16" s="31"/>
      <c r="N16" s="9">
        <v>122.0</v>
      </c>
      <c r="O16" s="9">
        <v>84.0</v>
      </c>
      <c r="P16" s="9">
        <v>161.0</v>
      </c>
      <c r="Q16" s="9">
        <v>197.0</v>
      </c>
      <c r="R16" s="9">
        <v>145.0</v>
      </c>
      <c r="S16" s="9">
        <v>115.0</v>
      </c>
      <c r="T16" s="9">
        <v>196.0</v>
      </c>
      <c r="U16" s="29"/>
      <c r="V16" s="28"/>
    </row>
    <row r="17">
      <c r="B17" s="18" t="s">
        <v>46</v>
      </c>
      <c r="C17" s="19">
        <v>4681.0</v>
      </c>
      <c r="D17" s="9">
        <v>2.0</v>
      </c>
      <c r="E17" s="31"/>
      <c r="F17" s="31"/>
      <c r="G17" s="31"/>
      <c r="H17" s="31"/>
      <c r="I17" s="31"/>
      <c r="J17" s="31"/>
      <c r="K17" s="31"/>
      <c r="L17" s="31"/>
      <c r="M17" s="31"/>
      <c r="N17" s="9">
        <v>164.0</v>
      </c>
      <c r="O17" s="9">
        <v>20.0</v>
      </c>
      <c r="P17" s="9">
        <v>163.0</v>
      </c>
      <c r="Q17" s="9">
        <v>103.0</v>
      </c>
      <c r="R17" s="9">
        <v>160.0</v>
      </c>
      <c r="S17" s="9">
        <v>25.0</v>
      </c>
      <c r="T17" s="9">
        <v>34.0</v>
      </c>
      <c r="U17" s="31"/>
      <c r="V17" s="31"/>
    </row>
    <row r="18">
      <c r="B18" s="18" t="s">
        <v>47</v>
      </c>
      <c r="C18" s="19">
        <v>4260.0</v>
      </c>
      <c r="D18" s="9">
        <v>8.0</v>
      </c>
      <c r="E18" s="31"/>
      <c r="F18" s="31"/>
      <c r="G18" s="31"/>
      <c r="H18" s="31"/>
      <c r="I18" s="31"/>
      <c r="J18" s="31"/>
      <c r="K18" s="31"/>
      <c r="L18" s="31"/>
      <c r="M18" s="31"/>
      <c r="N18" s="9">
        <v>8.0</v>
      </c>
      <c r="O18" s="9">
        <v>122.0</v>
      </c>
      <c r="P18" s="9">
        <v>88.0</v>
      </c>
      <c r="Q18" s="9">
        <v>142.0</v>
      </c>
      <c r="R18" s="9">
        <v>158.0</v>
      </c>
      <c r="S18" s="9">
        <v>157.0</v>
      </c>
      <c r="T18" s="9">
        <v>22.0</v>
      </c>
      <c r="U18" s="31"/>
      <c r="V18" s="31"/>
    </row>
    <row r="19">
      <c r="B19" s="18" t="s">
        <v>48</v>
      </c>
      <c r="C19" s="19">
        <v>9255.0</v>
      </c>
      <c r="D19" s="9">
        <v>1.0</v>
      </c>
      <c r="E19" s="31"/>
      <c r="F19" s="31"/>
      <c r="G19" s="31"/>
      <c r="H19" s="31"/>
      <c r="I19" s="31"/>
      <c r="J19" s="31"/>
      <c r="K19" s="31"/>
      <c r="L19" s="31"/>
      <c r="M19" s="31"/>
      <c r="N19" s="9">
        <v>72.0</v>
      </c>
      <c r="O19" s="9">
        <v>141.0</v>
      </c>
      <c r="P19" s="9">
        <v>29.0</v>
      </c>
      <c r="Q19" s="9">
        <v>183.0</v>
      </c>
      <c r="R19" s="9">
        <v>106.0</v>
      </c>
      <c r="S19" s="9">
        <v>46.0</v>
      </c>
      <c r="T19" s="9">
        <v>34.0</v>
      </c>
      <c r="U19" s="31"/>
      <c r="V19" s="31"/>
    </row>
    <row r="20">
      <c r="B20" s="18" t="s">
        <v>49</v>
      </c>
      <c r="C20" s="19">
        <v>6796.0</v>
      </c>
      <c r="D20" s="9">
        <v>3.0</v>
      </c>
      <c r="E20" s="31"/>
      <c r="F20" s="31"/>
      <c r="G20" s="31"/>
      <c r="H20" s="31"/>
      <c r="I20" s="31"/>
      <c r="J20" s="31"/>
      <c r="K20" s="31"/>
      <c r="L20" s="31"/>
      <c r="M20" s="31"/>
      <c r="N20" s="9">
        <v>64.0</v>
      </c>
      <c r="O20" s="9">
        <v>63.0</v>
      </c>
      <c r="P20" s="9">
        <v>98.0</v>
      </c>
      <c r="Q20" s="9">
        <v>57.0</v>
      </c>
      <c r="R20" s="9">
        <v>163.0</v>
      </c>
      <c r="S20" s="9">
        <v>160.0</v>
      </c>
      <c r="T20" s="9">
        <v>100.0</v>
      </c>
    </row>
    <row r="21">
      <c r="B21" s="18" t="s">
        <v>51</v>
      </c>
      <c r="C21" s="19">
        <v>9938.0</v>
      </c>
      <c r="D21" s="9">
        <v>9.0</v>
      </c>
      <c r="E21" s="31"/>
      <c r="F21" s="31"/>
      <c r="G21" s="31"/>
      <c r="H21" s="31"/>
      <c r="I21" s="31"/>
      <c r="J21" s="31"/>
      <c r="K21" s="31"/>
      <c r="L21" s="31"/>
      <c r="M21" s="31"/>
      <c r="N21" s="9">
        <v>95.0</v>
      </c>
      <c r="O21" s="9">
        <v>5.0</v>
      </c>
      <c r="P21" s="9">
        <v>196.0</v>
      </c>
      <c r="Q21" s="9">
        <v>197.0</v>
      </c>
      <c r="R21" s="9">
        <v>3.0</v>
      </c>
      <c r="S21" s="9">
        <v>53.0</v>
      </c>
      <c r="T21" s="9">
        <v>114.0</v>
      </c>
    </row>
    <row r="22">
      <c r="B22" s="18" t="s">
        <v>52</v>
      </c>
      <c r="C22" s="19">
        <v>2367.0</v>
      </c>
      <c r="D22" s="9">
        <v>11.0</v>
      </c>
      <c r="E22" s="31"/>
      <c r="F22" s="31"/>
      <c r="G22" s="31"/>
      <c r="H22" s="31"/>
      <c r="I22" s="31"/>
      <c r="J22" s="31"/>
      <c r="K22" s="31"/>
      <c r="L22" s="31"/>
      <c r="M22" s="31"/>
      <c r="N22" s="9">
        <v>28.0</v>
      </c>
      <c r="O22" s="9">
        <v>1.0</v>
      </c>
      <c r="P22" s="9">
        <v>98.0</v>
      </c>
      <c r="Q22" s="9">
        <v>116.0</v>
      </c>
      <c r="R22" s="9">
        <v>45.0</v>
      </c>
      <c r="S22" s="9">
        <v>180.0</v>
      </c>
      <c r="T22" s="9">
        <v>163.0</v>
      </c>
    </row>
    <row r="23">
      <c r="B23" s="18" t="s">
        <v>53</v>
      </c>
      <c r="C23" s="19">
        <v>1414.0</v>
      </c>
      <c r="D23" s="9">
        <v>6.0</v>
      </c>
      <c r="E23" s="31"/>
      <c r="F23" s="31"/>
      <c r="G23" s="31"/>
      <c r="H23" s="31"/>
      <c r="I23" s="31"/>
      <c r="J23" s="31"/>
      <c r="K23" s="31"/>
      <c r="L23" s="31"/>
      <c r="M23" s="31"/>
      <c r="N23" s="9">
        <v>90.0</v>
      </c>
      <c r="O23" s="9">
        <v>175.0</v>
      </c>
      <c r="P23" s="9">
        <v>1.0</v>
      </c>
      <c r="Q23" s="9">
        <v>195.0</v>
      </c>
      <c r="R23" s="9">
        <v>41.0</v>
      </c>
      <c r="S23" s="9">
        <v>134.0</v>
      </c>
      <c r="T23" s="9">
        <v>51.0</v>
      </c>
    </row>
    <row r="24">
      <c r="B24" s="18" t="s">
        <v>54</v>
      </c>
      <c r="C24" s="19">
        <v>4147.0</v>
      </c>
      <c r="D24" s="9">
        <v>1.0</v>
      </c>
      <c r="E24" s="31"/>
      <c r="F24" s="31"/>
      <c r="G24" s="31"/>
      <c r="H24" s="31"/>
      <c r="I24" s="31"/>
      <c r="J24" s="31"/>
      <c r="K24" s="31"/>
      <c r="L24" s="31"/>
      <c r="M24" s="31"/>
      <c r="N24" s="9">
        <v>165.0</v>
      </c>
      <c r="O24" s="9">
        <v>151.0</v>
      </c>
      <c r="P24" s="9">
        <v>183.0</v>
      </c>
      <c r="Q24" s="9">
        <v>117.0</v>
      </c>
      <c r="R24" s="9">
        <v>30.0</v>
      </c>
      <c r="S24" s="9">
        <v>181.0</v>
      </c>
      <c r="T24" s="9">
        <v>14.0</v>
      </c>
    </row>
    <row r="25">
      <c r="B25" s="18" t="s">
        <v>55</v>
      </c>
      <c r="C25" s="19">
        <v>6178.0</v>
      </c>
      <c r="D25" s="9">
        <v>5.0</v>
      </c>
      <c r="E25" s="31"/>
      <c r="F25" s="31"/>
      <c r="G25" s="31"/>
      <c r="H25" s="31"/>
      <c r="I25" s="31"/>
      <c r="J25" s="31"/>
      <c r="K25" s="31"/>
      <c r="L25" s="31"/>
      <c r="M25" s="31"/>
      <c r="N25" s="9">
        <v>135.0</v>
      </c>
      <c r="O25" s="9">
        <v>5.0</v>
      </c>
      <c r="P25" s="9">
        <v>157.0</v>
      </c>
      <c r="Q25" s="9">
        <v>92.0</v>
      </c>
      <c r="R25" s="9">
        <v>90.0</v>
      </c>
      <c r="S25" s="9">
        <v>38.0</v>
      </c>
      <c r="T25" s="9">
        <v>73.0</v>
      </c>
    </row>
    <row r="26">
      <c r="B26" s="18" t="s">
        <v>56</v>
      </c>
      <c r="C26" s="19">
        <v>4490.0</v>
      </c>
      <c r="D26" s="9">
        <v>5.0</v>
      </c>
      <c r="E26" s="31"/>
      <c r="F26" s="31"/>
      <c r="G26" s="31"/>
      <c r="H26" s="31"/>
      <c r="I26" s="31"/>
      <c r="J26" s="31"/>
      <c r="K26" s="31"/>
      <c r="L26" s="31"/>
      <c r="M26" s="31"/>
      <c r="N26" s="9">
        <v>13.0</v>
      </c>
      <c r="O26" s="9">
        <v>35.0</v>
      </c>
      <c r="P26" s="9">
        <v>120.0</v>
      </c>
      <c r="Q26" s="9">
        <v>190.0</v>
      </c>
      <c r="R26" s="9">
        <v>45.0</v>
      </c>
      <c r="S26" s="9">
        <v>43.0</v>
      </c>
      <c r="T26" s="9">
        <v>122.0</v>
      </c>
    </row>
    <row r="27">
      <c r="B27" s="18" t="s">
        <v>58</v>
      </c>
      <c r="C27" s="19">
        <v>1993.0</v>
      </c>
      <c r="D27" s="9">
        <v>7.0</v>
      </c>
      <c r="E27" s="31"/>
      <c r="F27" s="31"/>
      <c r="G27" s="31"/>
      <c r="H27" s="31"/>
      <c r="I27" s="31"/>
      <c r="J27" s="31"/>
      <c r="K27" s="31"/>
      <c r="L27" s="31"/>
      <c r="M27" s="31"/>
      <c r="N27" s="9">
        <v>22.0</v>
      </c>
      <c r="O27" s="9">
        <v>86.0</v>
      </c>
      <c r="P27" s="9">
        <v>44.0</v>
      </c>
      <c r="Q27" s="9">
        <v>54.0</v>
      </c>
      <c r="R27" s="9">
        <v>171.0</v>
      </c>
      <c r="S27" s="9">
        <v>89.0</v>
      </c>
      <c r="T27" s="9">
        <v>6.0</v>
      </c>
    </row>
    <row r="28">
      <c r="B28" s="18" t="s">
        <v>59</v>
      </c>
      <c r="C28" s="19">
        <v>1554.0</v>
      </c>
      <c r="D28" s="9">
        <v>12.0</v>
      </c>
      <c r="E28" s="31"/>
      <c r="F28" s="39"/>
      <c r="G28" s="31"/>
      <c r="H28" s="31"/>
      <c r="I28" s="31"/>
      <c r="J28" s="31"/>
      <c r="K28" s="31"/>
      <c r="L28" s="31"/>
      <c r="M28" s="31"/>
      <c r="N28" s="31">
        <v>133.0</v>
      </c>
      <c r="O28" s="9">
        <v>158.0</v>
      </c>
      <c r="P28" s="9">
        <v>154.0</v>
      </c>
      <c r="Q28" s="9">
        <v>21.0</v>
      </c>
      <c r="R28" s="9">
        <v>50.0</v>
      </c>
      <c r="S28" s="9">
        <v>33.0</v>
      </c>
      <c r="T28" s="9">
        <v>15.0</v>
      </c>
    </row>
    <row r="29">
      <c r="B29" s="8" t="s">
        <v>60</v>
      </c>
      <c r="C29" s="10">
        <v>7948.0</v>
      </c>
      <c r="D29" s="9">
        <v>5.0</v>
      </c>
      <c r="E29" s="31"/>
      <c r="F29" s="31"/>
      <c r="G29" s="31"/>
      <c r="H29" s="31"/>
      <c r="I29" s="31"/>
      <c r="J29" s="31"/>
      <c r="K29" s="31"/>
      <c r="L29" s="31"/>
      <c r="M29" s="31"/>
      <c r="N29" s="9">
        <v>42.0</v>
      </c>
      <c r="O29" s="9">
        <v>161.0</v>
      </c>
      <c r="P29" s="9">
        <v>45.0</v>
      </c>
      <c r="Q29" s="9">
        <v>70.0</v>
      </c>
      <c r="R29" s="9">
        <v>32.0</v>
      </c>
      <c r="S29" s="9">
        <v>180.0</v>
      </c>
      <c r="T29" s="9">
        <v>137.0</v>
      </c>
    </row>
    <row r="30">
      <c r="B30" s="8" t="s">
        <v>61</v>
      </c>
      <c r="C30" s="10">
        <v>7746.0</v>
      </c>
      <c r="D30" s="9">
        <v>4.0</v>
      </c>
      <c r="N30" s="9">
        <v>136.0</v>
      </c>
      <c r="O30" s="9">
        <v>55.0</v>
      </c>
      <c r="P30" s="9">
        <v>174.0</v>
      </c>
      <c r="Q30" s="9">
        <v>75.0</v>
      </c>
      <c r="R30" s="9">
        <v>84.0</v>
      </c>
      <c r="S30" s="9">
        <v>196.0</v>
      </c>
      <c r="T30" s="9">
        <v>11.0</v>
      </c>
    </row>
    <row r="31">
      <c r="B31" s="8" t="s">
        <v>62</v>
      </c>
      <c r="C31" s="10">
        <v>6041.0</v>
      </c>
      <c r="D31" s="9">
        <v>9.0</v>
      </c>
      <c r="N31" s="9">
        <v>184.0</v>
      </c>
      <c r="O31" s="9">
        <v>122.0</v>
      </c>
      <c r="P31" s="9">
        <v>170.0</v>
      </c>
      <c r="Q31" s="9">
        <v>28.0</v>
      </c>
      <c r="R31" s="9">
        <v>74.0</v>
      </c>
      <c r="S31" s="9">
        <v>90.0</v>
      </c>
      <c r="T31" s="9">
        <v>37.0</v>
      </c>
    </row>
    <row r="32">
      <c r="B32" s="8" t="s">
        <v>63</v>
      </c>
      <c r="C32" s="10">
        <v>2260.0</v>
      </c>
      <c r="D32" s="9">
        <v>7.0</v>
      </c>
      <c r="N32" s="9">
        <v>0.0</v>
      </c>
      <c r="O32" s="9">
        <v>72.0</v>
      </c>
      <c r="P32" s="9">
        <v>30.0</v>
      </c>
      <c r="Q32" s="9">
        <v>81.0</v>
      </c>
      <c r="R32" s="9">
        <v>180.0</v>
      </c>
      <c r="S32" s="9">
        <v>177.0</v>
      </c>
      <c r="T32" s="9">
        <v>52.0</v>
      </c>
    </row>
    <row r="33">
      <c r="B33" s="8" t="s">
        <v>64</v>
      </c>
      <c r="C33" s="10">
        <v>7561.0</v>
      </c>
      <c r="D33" s="9">
        <v>11.0</v>
      </c>
      <c r="N33" s="9">
        <v>3.0</v>
      </c>
      <c r="O33" s="9">
        <v>111.0</v>
      </c>
      <c r="P33" s="9">
        <v>76.0</v>
      </c>
      <c r="Q33" s="9">
        <v>169.0</v>
      </c>
      <c r="R33" s="9">
        <v>168.0</v>
      </c>
      <c r="S33" s="9">
        <v>15.0</v>
      </c>
      <c r="T33" s="9">
        <v>184.0</v>
      </c>
    </row>
    <row r="34">
      <c r="B34" s="8" t="s">
        <v>65</v>
      </c>
      <c r="C34" s="10">
        <v>4298.0</v>
      </c>
      <c r="D34" s="9">
        <v>12.0</v>
      </c>
      <c r="N34" s="9">
        <v>173.0</v>
      </c>
      <c r="O34" s="9">
        <v>10.0</v>
      </c>
      <c r="P34" s="9">
        <v>148.0</v>
      </c>
      <c r="Q34" s="9">
        <v>1.0</v>
      </c>
      <c r="R34" s="9">
        <v>177.0</v>
      </c>
      <c r="S34" s="9">
        <v>92.0</v>
      </c>
      <c r="T34" s="9">
        <v>142.0</v>
      </c>
    </row>
    <row r="35">
      <c r="B35" s="8" t="s">
        <v>67</v>
      </c>
      <c r="C35" s="10">
        <v>9726.0</v>
      </c>
      <c r="D35" s="9">
        <v>2.0</v>
      </c>
      <c r="N35" s="9">
        <v>50.0</v>
      </c>
      <c r="O35" s="9">
        <v>185.0</v>
      </c>
      <c r="P35" s="9">
        <v>117.0</v>
      </c>
      <c r="Q35" s="9">
        <v>62.0</v>
      </c>
      <c r="R35" s="9">
        <v>149.0</v>
      </c>
      <c r="S35" s="9">
        <v>92.0</v>
      </c>
      <c r="T35" s="9">
        <v>124.0</v>
      </c>
    </row>
    <row r="36">
      <c r="B36" s="8" t="s">
        <v>68</v>
      </c>
      <c r="C36" s="10">
        <v>7591.0</v>
      </c>
      <c r="D36" s="9">
        <v>2.0</v>
      </c>
      <c r="N36" s="9">
        <v>84.0</v>
      </c>
      <c r="O36" s="9">
        <v>110.0</v>
      </c>
      <c r="P36" s="9">
        <v>187.0</v>
      </c>
      <c r="Q36" s="9">
        <v>44.0</v>
      </c>
      <c r="R36" s="9">
        <v>101.0</v>
      </c>
      <c r="S36" s="9">
        <v>3.0</v>
      </c>
      <c r="T36" s="9">
        <v>28.0</v>
      </c>
    </row>
    <row r="37">
      <c r="B37" s="8" t="s">
        <v>69</v>
      </c>
      <c r="C37" s="10">
        <v>7113.0</v>
      </c>
      <c r="D37" s="9">
        <v>8.0</v>
      </c>
      <c r="N37" s="9">
        <v>152.0</v>
      </c>
      <c r="O37" s="9">
        <v>4.0</v>
      </c>
      <c r="P37" s="9">
        <v>8.0</v>
      </c>
      <c r="Q37" s="9">
        <v>28.0</v>
      </c>
      <c r="R37" s="9">
        <v>164.0</v>
      </c>
      <c r="S37" s="9">
        <v>110.0</v>
      </c>
      <c r="T37" s="9">
        <v>176.0</v>
      </c>
    </row>
    <row r="38">
      <c r="B38" s="8" t="s">
        <v>70</v>
      </c>
      <c r="C38" s="10">
        <v>3083.0</v>
      </c>
      <c r="D38" s="9">
        <v>9.0</v>
      </c>
      <c r="N38" s="9">
        <v>63.0</v>
      </c>
      <c r="O38" s="9">
        <v>73.0</v>
      </c>
      <c r="P38" s="9">
        <v>175.0</v>
      </c>
      <c r="Q38" s="9">
        <v>3.0</v>
      </c>
      <c r="R38" s="9">
        <v>106.0</v>
      </c>
      <c r="S38" s="9">
        <v>105.0</v>
      </c>
      <c r="T38" s="9">
        <v>17.0</v>
      </c>
    </row>
    <row r="39">
      <c r="B39" s="8" t="s">
        <v>71</v>
      </c>
      <c r="C39" s="10">
        <v>9299.0</v>
      </c>
      <c r="D39" s="9">
        <v>12.0</v>
      </c>
      <c r="N39" s="9">
        <v>98.0</v>
      </c>
      <c r="O39" s="9">
        <v>96.0</v>
      </c>
      <c r="P39" s="9">
        <v>94.0</v>
      </c>
      <c r="Q39" s="9">
        <v>135.0</v>
      </c>
      <c r="R39" s="9">
        <v>191.0</v>
      </c>
      <c r="S39" s="9">
        <v>68.0</v>
      </c>
      <c r="T39" s="9">
        <v>173.0</v>
      </c>
    </row>
    <row r="40">
      <c r="B40" s="8" t="s">
        <v>72</v>
      </c>
      <c r="C40" s="10">
        <v>7951.0</v>
      </c>
      <c r="D40" s="9">
        <v>9.0</v>
      </c>
      <c r="N40" s="9">
        <v>184.0</v>
      </c>
      <c r="O40" s="9">
        <v>18.0</v>
      </c>
      <c r="P40" s="9">
        <v>99.0</v>
      </c>
      <c r="Q40" s="9">
        <v>3.0</v>
      </c>
      <c r="R40" s="9">
        <v>9.0</v>
      </c>
      <c r="S40" s="9">
        <v>195.0</v>
      </c>
      <c r="T40" s="9">
        <v>34.0</v>
      </c>
    </row>
    <row r="41">
      <c r="B41" s="8" t="s">
        <v>73</v>
      </c>
      <c r="C41" s="10">
        <v>1277.0</v>
      </c>
      <c r="D41" s="9">
        <v>1.0</v>
      </c>
      <c r="N41" s="9">
        <v>71.0</v>
      </c>
      <c r="O41" s="9">
        <v>35.0</v>
      </c>
      <c r="P41" s="9">
        <v>186.0</v>
      </c>
      <c r="Q41" s="9">
        <v>13.0</v>
      </c>
      <c r="R41" s="9">
        <v>98.0</v>
      </c>
      <c r="S41" s="9">
        <v>181.0</v>
      </c>
      <c r="T41" s="9">
        <v>78.0</v>
      </c>
    </row>
    <row r="42">
      <c r="B42" s="8" t="s">
        <v>74</v>
      </c>
      <c r="C42" s="10">
        <v>5592.0</v>
      </c>
      <c r="D42" s="9">
        <v>6.0</v>
      </c>
      <c r="N42" s="9">
        <v>152.0</v>
      </c>
      <c r="O42" s="9">
        <v>195.0</v>
      </c>
      <c r="P42" s="9">
        <v>118.0</v>
      </c>
      <c r="Q42" s="9">
        <v>60.0</v>
      </c>
      <c r="R42" s="9">
        <v>118.0</v>
      </c>
      <c r="S42" s="9">
        <v>174.0</v>
      </c>
      <c r="T42" s="9">
        <v>176.0</v>
      </c>
    </row>
    <row r="43">
      <c r="B43" s="8" t="s">
        <v>75</v>
      </c>
      <c r="C43" s="10">
        <v>4587.0</v>
      </c>
      <c r="D43" s="9">
        <v>5.0</v>
      </c>
      <c r="N43" s="9">
        <v>50.0</v>
      </c>
      <c r="O43" s="9">
        <v>0.0</v>
      </c>
      <c r="P43" s="9">
        <v>68.0</v>
      </c>
      <c r="Q43" s="9">
        <v>106.0</v>
      </c>
      <c r="R43" s="9">
        <v>107.0</v>
      </c>
      <c r="S43" s="9">
        <v>127.0</v>
      </c>
      <c r="T43" s="9">
        <v>55.0</v>
      </c>
    </row>
    <row r="44">
      <c r="B44" s="8" t="s">
        <v>76</v>
      </c>
      <c r="C44" s="10">
        <v>2128.0</v>
      </c>
      <c r="D44" s="9">
        <v>1.0</v>
      </c>
      <c r="N44" s="9">
        <v>20.0</v>
      </c>
      <c r="O44" s="9">
        <v>25.0</v>
      </c>
      <c r="P44" s="9">
        <v>27.0</v>
      </c>
      <c r="Q44" s="9">
        <v>73.0</v>
      </c>
      <c r="R44" s="9">
        <v>182.0</v>
      </c>
      <c r="S44" s="9">
        <v>155.0</v>
      </c>
      <c r="T44" s="9">
        <v>77.0</v>
      </c>
    </row>
    <row r="45">
      <c r="B45" s="8" t="s">
        <v>77</v>
      </c>
      <c r="C45" s="10">
        <v>3294.0</v>
      </c>
      <c r="D45" s="9">
        <v>1.0</v>
      </c>
      <c r="N45" s="9">
        <v>148.0</v>
      </c>
      <c r="O45" s="9">
        <v>112.0</v>
      </c>
      <c r="P45" s="9">
        <v>10.0</v>
      </c>
      <c r="Q45" s="9">
        <v>131.0</v>
      </c>
      <c r="R45" s="9">
        <v>141.0</v>
      </c>
      <c r="S45" s="9">
        <v>151.0</v>
      </c>
      <c r="T45" s="9">
        <v>27.0</v>
      </c>
    </row>
    <row r="46">
      <c r="B46" s="8" t="s">
        <v>78</v>
      </c>
      <c r="C46" s="10">
        <v>7714.0</v>
      </c>
      <c r="D46" s="9">
        <v>4.0</v>
      </c>
      <c r="N46" s="9">
        <v>44.0</v>
      </c>
      <c r="O46" s="9">
        <v>36.0</v>
      </c>
      <c r="P46" s="9">
        <v>126.0</v>
      </c>
      <c r="Q46" s="9">
        <v>61.0</v>
      </c>
      <c r="R46" s="9">
        <v>43.0</v>
      </c>
      <c r="S46" s="9">
        <v>80.0</v>
      </c>
      <c r="T46" s="9">
        <v>173.0</v>
      </c>
    </row>
    <row r="47">
      <c r="B47" s="8" t="s">
        <v>79</v>
      </c>
      <c r="C47" s="10">
        <v>1115.0</v>
      </c>
      <c r="D47" s="9">
        <v>3.0</v>
      </c>
      <c r="N47" s="9">
        <v>60.0</v>
      </c>
      <c r="O47" s="9">
        <v>127.0</v>
      </c>
      <c r="P47" s="9">
        <v>21.0</v>
      </c>
      <c r="Q47" s="9">
        <v>63.0</v>
      </c>
      <c r="R47" s="9">
        <v>46.0</v>
      </c>
      <c r="S47" s="9">
        <v>122.0</v>
      </c>
      <c r="T47" s="9">
        <v>2.0</v>
      </c>
    </row>
    <row r="48">
      <c r="B48" s="8" t="s">
        <v>80</v>
      </c>
      <c r="C48" s="10">
        <v>6248.0</v>
      </c>
      <c r="D48" s="9">
        <v>7.0</v>
      </c>
      <c r="N48" s="9">
        <v>93.0</v>
      </c>
      <c r="O48" s="9">
        <v>97.0</v>
      </c>
      <c r="P48" s="9">
        <v>97.0</v>
      </c>
      <c r="Q48" s="9">
        <v>14.0</v>
      </c>
      <c r="R48" s="9">
        <v>179.0</v>
      </c>
      <c r="S48" s="9">
        <v>124.0</v>
      </c>
      <c r="T48" s="9">
        <v>137.0</v>
      </c>
    </row>
    <row r="49">
      <c r="B49" s="8" t="s">
        <v>81</v>
      </c>
      <c r="C49" s="10">
        <v>6959.0</v>
      </c>
      <c r="D49" s="9">
        <v>5.0</v>
      </c>
      <c r="N49" s="9">
        <v>199.0</v>
      </c>
      <c r="O49" s="9">
        <v>10.0</v>
      </c>
      <c r="P49" s="9">
        <v>48.0</v>
      </c>
      <c r="Q49" s="9">
        <v>31.0</v>
      </c>
      <c r="R49" s="9">
        <v>121.0</v>
      </c>
      <c r="S49" s="9">
        <v>155.0</v>
      </c>
      <c r="T49" s="9">
        <v>125.0</v>
      </c>
    </row>
    <row r="50">
      <c r="B50" s="8" t="s">
        <v>82</v>
      </c>
      <c r="C50" s="10">
        <v>1871.0</v>
      </c>
      <c r="D50" s="9">
        <v>9.0</v>
      </c>
      <c r="N50" s="9">
        <v>175.0</v>
      </c>
      <c r="O50" s="9">
        <v>38.0</v>
      </c>
      <c r="P50" s="9">
        <v>80.0</v>
      </c>
      <c r="Q50" s="9">
        <v>101.0</v>
      </c>
      <c r="R50" s="9">
        <v>21.0</v>
      </c>
      <c r="S50" s="9">
        <v>3.0</v>
      </c>
      <c r="T50" s="9">
        <v>71.0</v>
      </c>
    </row>
    <row r="51">
      <c r="B51" s="8" t="s">
        <v>83</v>
      </c>
      <c r="C51" s="10">
        <v>2973.0</v>
      </c>
      <c r="D51" s="9">
        <v>8.0</v>
      </c>
      <c r="N51" s="9">
        <v>180.0</v>
      </c>
      <c r="O51" s="9">
        <v>88.0</v>
      </c>
      <c r="P51" s="9">
        <v>180.0</v>
      </c>
      <c r="Q51" s="9">
        <v>120.0</v>
      </c>
      <c r="R51" s="9">
        <v>65.0</v>
      </c>
      <c r="S51" s="9">
        <v>141.0</v>
      </c>
      <c r="T51" s="9">
        <v>20.0</v>
      </c>
    </row>
    <row r="52">
      <c r="B52" s="8" t="s">
        <v>84</v>
      </c>
      <c r="C52" s="10">
        <v>6739.0</v>
      </c>
      <c r="D52" s="9">
        <v>9.0</v>
      </c>
      <c r="N52" s="9">
        <v>35.0</v>
      </c>
      <c r="O52" s="9">
        <v>79.0</v>
      </c>
      <c r="P52" s="9">
        <v>150.0</v>
      </c>
      <c r="Q52" s="9">
        <v>74.0</v>
      </c>
      <c r="R52" s="9">
        <v>106.0</v>
      </c>
      <c r="S52" s="9">
        <v>63.0</v>
      </c>
      <c r="T52" s="9">
        <v>68.0</v>
      </c>
    </row>
    <row r="53">
      <c r="B53" s="8" t="s">
        <v>85</v>
      </c>
      <c r="C53" s="10">
        <v>2258.0</v>
      </c>
      <c r="D53" s="9">
        <v>9.0</v>
      </c>
      <c r="N53" s="9">
        <v>135.0</v>
      </c>
      <c r="O53" s="9">
        <v>127.0</v>
      </c>
      <c r="P53" s="9">
        <v>13.0</v>
      </c>
      <c r="Q53" s="9">
        <v>165.0</v>
      </c>
      <c r="R53" s="9">
        <v>50.0</v>
      </c>
      <c r="S53" s="9">
        <v>147.0</v>
      </c>
      <c r="T53" s="9">
        <v>6.0</v>
      </c>
    </row>
    <row r="54">
      <c r="B54" s="8" t="s">
        <v>86</v>
      </c>
      <c r="C54" s="10">
        <v>3735.0</v>
      </c>
      <c r="D54" s="9">
        <v>8.0</v>
      </c>
      <c r="N54" s="9">
        <v>151.0</v>
      </c>
      <c r="O54" s="9">
        <v>21.0</v>
      </c>
      <c r="P54" s="9">
        <v>58.0</v>
      </c>
      <c r="Q54" s="9">
        <v>172.0</v>
      </c>
      <c r="R54" s="9">
        <v>48.0</v>
      </c>
      <c r="S54" s="9">
        <v>108.0</v>
      </c>
      <c r="T54" s="9">
        <v>146.0</v>
      </c>
    </row>
    <row r="55">
      <c r="B55" s="8" t="s">
        <v>87</v>
      </c>
      <c r="C55" s="10">
        <v>1465.0</v>
      </c>
      <c r="D55" s="9">
        <v>12.0</v>
      </c>
      <c r="N55" s="9">
        <v>49.0</v>
      </c>
      <c r="O55" s="9">
        <v>166.0</v>
      </c>
      <c r="P55" s="9">
        <v>69.0</v>
      </c>
      <c r="Q55" s="9">
        <v>133.0</v>
      </c>
      <c r="R55" s="9">
        <v>95.0</v>
      </c>
      <c r="S55" s="9">
        <v>132.0</v>
      </c>
      <c r="T55" s="9">
        <v>22.0</v>
      </c>
    </row>
    <row r="56">
      <c r="B56" s="8" t="s">
        <v>88</v>
      </c>
      <c r="C56" s="10">
        <v>1846.0</v>
      </c>
      <c r="D56" s="9">
        <v>8.0</v>
      </c>
      <c r="N56" s="9">
        <v>151.0</v>
      </c>
      <c r="O56" s="9">
        <v>2.0</v>
      </c>
      <c r="P56" s="9">
        <v>157.0</v>
      </c>
      <c r="Q56" s="9">
        <v>61.0</v>
      </c>
      <c r="R56" s="9">
        <v>115.0</v>
      </c>
      <c r="S56" s="9">
        <v>170.0</v>
      </c>
      <c r="T56" s="9">
        <v>134.0</v>
      </c>
    </row>
    <row r="57">
      <c r="B57" s="8" t="s">
        <v>89</v>
      </c>
      <c r="C57" s="10">
        <v>1540.0</v>
      </c>
      <c r="D57" s="9">
        <v>10.0</v>
      </c>
      <c r="N57" s="9">
        <v>120.0</v>
      </c>
      <c r="O57" s="9">
        <v>6.0</v>
      </c>
      <c r="P57" s="9">
        <v>93.0</v>
      </c>
      <c r="Q57" s="9">
        <v>14.0</v>
      </c>
      <c r="R57" s="9">
        <v>156.0</v>
      </c>
      <c r="S57" s="9">
        <v>30.0</v>
      </c>
      <c r="T57" s="9">
        <v>35.0</v>
      </c>
    </row>
    <row r="58">
      <c r="B58" s="8" t="s">
        <v>90</v>
      </c>
      <c r="C58" s="10">
        <v>1325.0</v>
      </c>
      <c r="D58" s="9">
        <v>5.0</v>
      </c>
      <c r="N58" s="9">
        <v>110.0</v>
      </c>
      <c r="O58" s="9">
        <v>130.0</v>
      </c>
      <c r="P58" s="9">
        <v>9.0</v>
      </c>
      <c r="Q58" s="9">
        <v>32.0</v>
      </c>
      <c r="R58" s="9">
        <v>110.0</v>
      </c>
      <c r="S58" s="9">
        <v>149.0</v>
      </c>
      <c r="T58" s="9">
        <v>199.0</v>
      </c>
    </row>
    <row r="59">
      <c r="B59" s="8" t="s">
        <v>91</v>
      </c>
      <c r="C59" s="10">
        <v>1385.0</v>
      </c>
      <c r="D59" s="9">
        <v>6.0</v>
      </c>
      <c r="N59" s="9">
        <v>90.0</v>
      </c>
      <c r="O59" s="9">
        <v>71.0</v>
      </c>
      <c r="P59" s="9">
        <v>142.0</v>
      </c>
      <c r="Q59" s="9">
        <v>35.0</v>
      </c>
      <c r="R59" s="9">
        <v>95.0</v>
      </c>
      <c r="S59" s="9">
        <v>50.0</v>
      </c>
      <c r="T59" s="9">
        <v>109.0</v>
      </c>
    </row>
    <row r="60">
      <c r="B60" s="8" t="s">
        <v>92</v>
      </c>
      <c r="C60" s="10">
        <v>6547.0</v>
      </c>
      <c r="D60" s="9">
        <v>6.0</v>
      </c>
      <c r="N60" s="9">
        <v>124.0</v>
      </c>
      <c r="O60" s="9">
        <v>151.0</v>
      </c>
      <c r="P60" s="9">
        <v>100.0</v>
      </c>
      <c r="Q60" s="9">
        <v>151.0</v>
      </c>
      <c r="R60" s="9">
        <v>136.0</v>
      </c>
      <c r="S60" s="9">
        <v>200.0</v>
      </c>
      <c r="T60" s="9">
        <v>82.0</v>
      </c>
    </row>
    <row r="61">
      <c r="B61" s="8" t="s">
        <v>93</v>
      </c>
      <c r="C61" s="10">
        <v>8753.0</v>
      </c>
      <c r="D61" s="9">
        <v>1.0</v>
      </c>
      <c r="N61" s="9">
        <v>94.0</v>
      </c>
      <c r="O61" s="9">
        <v>100.0</v>
      </c>
      <c r="P61" s="9">
        <v>168.0</v>
      </c>
      <c r="Q61" s="9">
        <v>47.0</v>
      </c>
      <c r="R61" s="9">
        <v>68.0</v>
      </c>
      <c r="S61" s="9">
        <v>124.0</v>
      </c>
      <c r="T61" s="9">
        <v>80.0</v>
      </c>
    </row>
    <row r="62">
      <c r="B62" s="8" t="s">
        <v>94</v>
      </c>
      <c r="C62" s="10">
        <v>6691.0</v>
      </c>
      <c r="D62" s="9">
        <v>2.0</v>
      </c>
      <c r="N62" s="9">
        <v>147.0</v>
      </c>
      <c r="O62" s="9">
        <v>10.0</v>
      </c>
      <c r="P62" s="9">
        <v>174.0</v>
      </c>
      <c r="Q62" s="9">
        <v>28.0</v>
      </c>
      <c r="R62" s="9">
        <v>144.0</v>
      </c>
      <c r="S62" s="9">
        <v>193.0</v>
      </c>
      <c r="T62" s="9">
        <v>35.0</v>
      </c>
    </row>
    <row r="63">
      <c r="B63" s="8" t="s">
        <v>95</v>
      </c>
      <c r="C63" s="10">
        <v>7480.0</v>
      </c>
      <c r="D63" s="9">
        <v>2.0</v>
      </c>
      <c r="N63" s="9">
        <v>141.0</v>
      </c>
      <c r="O63" s="9">
        <v>84.0</v>
      </c>
      <c r="P63" s="9">
        <v>86.0</v>
      </c>
      <c r="Q63" s="9">
        <v>121.0</v>
      </c>
      <c r="R63" s="9">
        <v>22.0</v>
      </c>
      <c r="S63" s="9">
        <v>70.0</v>
      </c>
      <c r="T63" s="9">
        <v>4.0</v>
      </c>
    </row>
    <row r="64">
      <c r="B64" s="8" t="s">
        <v>96</v>
      </c>
      <c r="C64" s="10">
        <v>3203.0</v>
      </c>
      <c r="D64" s="9">
        <v>7.0</v>
      </c>
      <c r="N64" s="9">
        <v>90.0</v>
      </c>
      <c r="O64" s="9">
        <v>195.0</v>
      </c>
      <c r="P64" s="9">
        <v>54.0</v>
      </c>
      <c r="Q64" s="9">
        <v>125.0</v>
      </c>
      <c r="R64" s="9">
        <v>186.0</v>
      </c>
      <c r="S64" s="9">
        <v>126.0</v>
      </c>
      <c r="T64" s="9">
        <v>150.0</v>
      </c>
    </row>
    <row r="65">
      <c r="B65" s="8" t="s">
        <v>97</v>
      </c>
      <c r="C65" s="10">
        <v>3331.0</v>
      </c>
      <c r="D65" s="9">
        <v>1.0</v>
      </c>
      <c r="N65" s="9">
        <v>156.0</v>
      </c>
      <c r="O65" s="9">
        <v>181.0</v>
      </c>
      <c r="P65" s="9">
        <v>93.0</v>
      </c>
      <c r="Q65" s="9">
        <v>185.0</v>
      </c>
      <c r="R65" s="9">
        <v>3.0</v>
      </c>
      <c r="S65" s="9">
        <v>195.0</v>
      </c>
      <c r="T65" s="9">
        <v>22.0</v>
      </c>
    </row>
    <row r="66">
      <c r="B66" s="8" t="s">
        <v>98</v>
      </c>
      <c r="C66" s="10">
        <v>1206.0</v>
      </c>
      <c r="D66" s="9">
        <v>7.0</v>
      </c>
      <c r="N66" s="9">
        <v>198.0</v>
      </c>
      <c r="O66" s="9">
        <v>105.0</v>
      </c>
      <c r="P66" s="9">
        <v>31.0</v>
      </c>
      <c r="Q66" s="9">
        <v>156.0</v>
      </c>
      <c r="R66" s="9">
        <v>23.0</v>
      </c>
      <c r="S66" s="9">
        <v>156.0</v>
      </c>
      <c r="T66" s="9">
        <v>145.0</v>
      </c>
    </row>
    <row r="67">
      <c r="B67" s="8" t="s">
        <v>99</v>
      </c>
      <c r="C67" s="10">
        <v>5309.0</v>
      </c>
      <c r="D67" s="9">
        <v>8.0</v>
      </c>
      <c r="N67" s="9">
        <v>191.0</v>
      </c>
      <c r="O67" s="9">
        <v>19.0</v>
      </c>
      <c r="P67" s="9">
        <v>143.0</v>
      </c>
      <c r="Q67" s="9">
        <v>168.0</v>
      </c>
      <c r="R67" s="9">
        <v>122.0</v>
      </c>
      <c r="S67" s="9">
        <v>51.0</v>
      </c>
      <c r="T67" s="9">
        <v>130.0</v>
      </c>
    </row>
    <row r="68">
      <c r="B68" s="8" t="s">
        <v>100</v>
      </c>
      <c r="C68" s="10">
        <v>7927.0</v>
      </c>
      <c r="D68" s="9">
        <v>11.0</v>
      </c>
      <c r="N68" s="9">
        <v>14.0</v>
      </c>
      <c r="O68" s="9">
        <v>57.0</v>
      </c>
      <c r="P68" s="9">
        <v>137.0</v>
      </c>
      <c r="Q68" s="9">
        <v>191.0</v>
      </c>
      <c r="R68" s="9">
        <v>47.0</v>
      </c>
      <c r="S68" s="9">
        <v>19.0</v>
      </c>
      <c r="T68" s="9">
        <v>116.0</v>
      </c>
    </row>
    <row r="69">
      <c r="B69" s="8" t="s">
        <v>101</v>
      </c>
      <c r="C69" s="10">
        <v>6776.0</v>
      </c>
      <c r="D69" s="9">
        <v>11.0</v>
      </c>
      <c r="N69" s="9">
        <v>45.0</v>
      </c>
      <c r="O69" s="9">
        <v>36.0</v>
      </c>
      <c r="P69" s="9">
        <v>149.0</v>
      </c>
      <c r="Q69" s="9">
        <v>4.0</v>
      </c>
      <c r="R69" s="9">
        <v>179.0</v>
      </c>
      <c r="S69" s="9">
        <v>97.0</v>
      </c>
      <c r="T69" s="9">
        <v>2.0</v>
      </c>
    </row>
    <row r="70">
      <c r="B70" s="8" t="s">
        <v>102</v>
      </c>
      <c r="C70" s="10">
        <v>8163.0</v>
      </c>
      <c r="D70" s="9">
        <v>12.0</v>
      </c>
      <c r="N70" s="9">
        <v>53.0</v>
      </c>
      <c r="O70" s="9">
        <v>69.0</v>
      </c>
      <c r="P70" s="9">
        <v>127.0</v>
      </c>
      <c r="Q70" s="9">
        <v>88.0</v>
      </c>
      <c r="R70" s="9">
        <v>45.0</v>
      </c>
      <c r="S70" s="9">
        <v>22.0</v>
      </c>
      <c r="T70" s="9">
        <v>12.0</v>
      </c>
    </row>
    <row r="71">
      <c r="B71" s="8" t="s">
        <v>103</v>
      </c>
      <c r="C71" s="10">
        <v>7237.0</v>
      </c>
      <c r="D71" s="9">
        <v>1.0</v>
      </c>
      <c r="N71" s="9">
        <v>194.0</v>
      </c>
      <c r="O71" s="9">
        <v>184.0</v>
      </c>
      <c r="P71" s="9">
        <v>198.0</v>
      </c>
      <c r="Q71" s="9">
        <v>20.0</v>
      </c>
      <c r="R71" s="9">
        <v>51.0</v>
      </c>
      <c r="S71" s="9">
        <v>140.0</v>
      </c>
      <c r="T71" s="9">
        <v>12.0</v>
      </c>
    </row>
    <row r="72">
      <c r="B72" s="8" t="s">
        <v>104</v>
      </c>
      <c r="C72" s="10">
        <v>6431.0</v>
      </c>
      <c r="D72" s="9">
        <v>4.0</v>
      </c>
      <c r="N72" s="9">
        <v>108.0</v>
      </c>
      <c r="O72" s="9">
        <v>62.0</v>
      </c>
      <c r="P72" s="9">
        <v>43.0</v>
      </c>
      <c r="Q72" s="9">
        <v>181.0</v>
      </c>
      <c r="R72" s="9">
        <v>43.0</v>
      </c>
      <c r="S72" s="9">
        <v>184.0</v>
      </c>
      <c r="T72" s="9">
        <v>5.0</v>
      </c>
    </row>
    <row r="73">
      <c r="B73" s="8" t="s">
        <v>105</v>
      </c>
      <c r="C73" s="10">
        <v>9836.0</v>
      </c>
      <c r="D73" s="9">
        <v>2.0</v>
      </c>
      <c r="N73" s="9">
        <v>58.0</v>
      </c>
      <c r="O73" s="9">
        <v>130.0</v>
      </c>
      <c r="P73" s="9">
        <v>116.0</v>
      </c>
      <c r="Q73" s="9">
        <v>5.0</v>
      </c>
      <c r="R73" s="9">
        <v>33.0</v>
      </c>
      <c r="S73" s="9">
        <v>148.0</v>
      </c>
      <c r="T73" s="9">
        <v>78.0</v>
      </c>
    </row>
    <row r="74">
      <c r="B74" s="8" t="s">
        <v>106</v>
      </c>
      <c r="C74" s="10">
        <v>9569.0</v>
      </c>
      <c r="D74" s="9">
        <v>3.0</v>
      </c>
      <c r="N74" s="9">
        <v>77.0</v>
      </c>
      <c r="O74" s="9">
        <v>113.0</v>
      </c>
      <c r="P74" s="9">
        <v>195.0</v>
      </c>
      <c r="Q74" s="9">
        <v>180.0</v>
      </c>
      <c r="R74" s="9">
        <v>168.0</v>
      </c>
      <c r="S74" s="9">
        <v>12.0</v>
      </c>
      <c r="T74" s="9">
        <v>165.0</v>
      </c>
    </row>
    <row r="75">
      <c r="B75" s="8" t="s">
        <v>107</v>
      </c>
      <c r="C75" s="10">
        <v>6728.0</v>
      </c>
      <c r="D75" s="9">
        <v>1.0</v>
      </c>
      <c r="N75" s="9">
        <v>184.0</v>
      </c>
      <c r="O75" s="9">
        <v>165.0</v>
      </c>
      <c r="P75" s="9">
        <v>0.0</v>
      </c>
      <c r="Q75" s="9">
        <v>137.0</v>
      </c>
      <c r="R75" s="9">
        <v>179.0</v>
      </c>
      <c r="S75" s="9">
        <v>98.0</v>
      </c>
      <c r="T75" s="9">
        <v>177.0</v>
      </c>
    </row>
    <row r="76">
      <c r="B76" s="8" t="s">
        <v>108</v>
      </c>
      <c r="C76" s="10">
        <v>5084.0</v>
      </c>
      <c r="D76" s="9">
        <v>4.0</v>
      </c>
      <c r="N76" s="9">
        <v>179.0</v>
      </c>
      <c r="O76" s="9">
        <v>90.0</v>
      </c>
      <c r="P76" s="9">
        <v>197.0</v>
      </c>
      <c r="Q76" s="9">
        <v>179.0</v>
      </c>
      <c r="R76" s="9">
        <v>115.0</v>
      </c>
      <c r="S76" s="9">
        <v>150.0</v>
      </c>
      <c r="T76" s="9">
        <v>1.0</v>
      </c>
    </row>
    <row r="77">
      <c r="B77" s="8" t="s">
        <v>109</v>
      </c>
      <c r="C77" s="10">
        <v>5457.0</v>
      </c>
      <c r="D77" s="9">
        <v>4.0</v>
      </c>
      <c r="N77" s="9">
        <v>27.0</v>
      </c>
      <c r="O77" s="9">
        <v>53.0</v>
      </c>
      <c r="P77" s="9">
        <v>92.0</v>
      </c>
      <c r="Q77" s="9">
        <v>136.0</v>
      </c>
      <c r="R77" s="9">
        <v>100.0</v>
      </c>
      <c r="S77" s="9">
        <v>137.0</v>
      </c>
      <c r="T77" s="9">
        <v>138.0</v>
      </c>
    </row>
    <row r="78">
      <c r="B78" s="8" t="s">
        <v>110</v>
      </c>
      <c r="C78" s="10">
        <v>8974.0</v>
      </c>
      <c r="D78" s="9">
        <v>2.0</v>
      </c>
      <c r="N78" s="9">
        <v>117.0</v>
      </c>
      <c r="O78" s="9">
        <v>191.0</v>
      </c>
      <c r="P78" s="9">
        <v>166.0</v>
      </c>
      <c r="Q78" s="9">
        <v>126.0</v>
      </c>
      <c r="R78" s="9">
        <v>149.0</v>
      </c>
      <c r="S78" s="9">
        <v>133.0</v>
      </c>
      <c r="T78" s="9">
        <v>89.0</v>
      </c>
    </row>
    <row r="79">
      <c r="B79" s="8" t="s">
        <v>111</v>
      </c>
      <c r="C79" s="10">
        <v>2477.0</v>
      </c>
      <c r="D79" s="9">
        <v>10.0</v>
      </c>
      <c r="N79" s="9">
        <v>162.0</v>
      </c>
      <c r="O79" s="9">
        <v>103.0</v>
      </c>
      <c r="P79" s="9">
        <v>156.0</v>
      </c>
      <c r="Q79" s="9">
        <v>20.0</v>
      </c>
      <c r="R79" s="9">
        <v>93.0</v>
      </c>
      <c r="S79" s="9">
        <v>5.0</v>
      </c>
      <c r="T79" s="9">
        <v>171.0</v>
      </c>
    </row>
    <row r="80">
      <c r="B80" s="8" t="s">
        <v>112</v>
      </c>
      <c r="C80" s="10">
        <v>6987.0</v>
      </c>
      <c r="D80" s="9">
        <v>6.0</v>
      </c>
      <c r="N80" s="9">
        <v>23.0</v>
      </c>
      <c r="O80" s="9">
        <v>13.0</v>
      </c>
      <c r="P80" s="9">
        <v>51.0</v>
      </c>
      <c r="Q80" s="9">
        <v>70.0</v>
      </c>
      <c r="R80" s="9">
        <v>158.0</v>
      </c>
      <c r="S80" s="9">
        <v>106.0</v>
      </c>
      <c r="T80" s="9">
        <v>23.0</v>
      </c>
    </row>
    <row r="81">
      <c r="B81" s="8" t="s">
        <v>113</v>
      </c>
      <c r="C81" s="10">
        <v>4369.0</v>
      </c>
      <c r="D81" s="9">
        <v>2.0</v>
      </c>
      <c r="N81" s="9">
        <v>177.0</v>
      </c>
      <c r="O81" s="9">
        <v>154.0</v>
      </c>
      <c r="P81" s="9">
        <v>4.0</v>
      </c>
      <c r="Q81" s="9">
        <v>38.0</v>
      </c>
      <c r="R81" s="9">
        <v>38.0</v>
      </c>
      <c r="S81" s="9">
        <v>42.0</v>
      </c>
      <c r="T81" s="9">
        <v>134.0</v>
      </c>
    </row>
    <row r="82">
      <c r="B82" s="8" t="s">
        <v>114</v>
      </c>
      <c r="C82" s="10">
        <v>5685.0</v>
      </c>
      <c r="D82" s="9">
        <v>4.0</v>
      </c>
      <c r="N82" s="9">
        <v>27.0</v>
      </c>
      <c r="O82" s="9">
        <v>187.0</v>
      </c>
      <c r="P82" s="9">
        <v>130.0</v>
      </c>
      <c r="Q82" s="9">
        <v>63.0</v>
      </c>
      <c r="R82" s="9">
        <v>104.0</v>
      </c>
      <c r="S82" s="9">
        <v>177.0</v>
      </c>
      <c r="T82" s="9">
        <v>28.0</v>
      </c>
    </row>
    <row r="83">
      <c r="B83" s="8" t="s">
        <v>115</v>
      </c>
      <c r="C83" s="10">
        <v>2156.0</v>
      </c>
      <c r="D83" s="9">
        <v>2.0</v>
      </c>
      <c r="N83" s="9">
        <v>170.0</v>
      </c>
      <c r="O83" s="9">
        <v>93.0</v>
      </c>
      <c r="P83" s="9">
        <v>75.0</v>
      </c>
      <c r="Q83" s="9">
        <v>98.0</v>
      </c>
      <c r="R83" s="9">
        <v>109.0</v>
      </c>
      <c r="S83" s="9">
        <v>184.0</v>
      </c>
      <c r="T83" s="9">
        <v>146.0</v>
      </c>
    </row>
    <row r="84">
      <c r="B84" s="8" t="s">
        <v>116</v>
      </c>
      <c r="C84" s="10">
        <v>6174.0</v>
      </c>
      <c r="D84" s="9">
        <v>1.0</v>
      </c>
      <c r="N84" s="9">
        <v>159.0</v>
      </c>
      <c r="O84" s="9">
        <v>200.0</v>
      </c>
      <c r="P84" s="9">
        <v>171.0</v>
      </c>
      <c r="Q84" s="9">
        <v>191.0</v>
      </c>
      <c r="R84" s="9">
        <v>48.0</v>
      </c>
      <c r="S84" s="9">
        <v>113.0</v>
      </c>
      <c r="T84" s="9">
        <v>172.0</v>
      </c>
    </row>
    <row r="85">
      <c r="B85" s="8" t="s">
        <v>117</v>
      </c>
      <c r="C85" s="10">
        <v>2232.0</v>
      </c>
      <c r="D85" s="9">
        <v>1.0</v>
      </c>
      <c r="N85" s="9">
        <v>100.0</v>
      </c>
      <c r="O85" s="9">
        <v>168.0</v>
      </c>
      <c r="P85" s="9">
        <v>179.0</v>
      </c>
      <c r="Q85" s="9">
        <v>79.0</v>
      </c>
      <c r="R85" s="9">
        <v>146.0</v>
      </c>
      <c r="S85" s="9">
        <v>16.0</v>
      </c>
      <c r="T85" s="9">
        <v>138.0</v>
      </c>
    </row>
    <row r="86">
      <c r="B86" s="8" t="s">
        <v>118</v>
      </c>
      <c r="C86" s="10">
        <v>3977.0</v>
      </c>
      <c r="D86" s="9">
        <v>9.0</v>
      </c>
      <c r="N86" s="9">
        <v>114.0</v>
      </c>
      <c r="O86" s="9">
        <v>181.0</v>
      </c>
      <c r="P86" s="9">
        <v>116.0</v>
      </c>
      <c r="Q86" s="9">
        <v>160.0</v>
      </c>
      <c r="R86" s="9">
        <v>129.0</v>
      </c>
      <c r="S86" s="9">
        <v>12.0</v>
      </c>
      <c r="T86" s="9">
        <v>90.0</v>
      </c>
    </row>
    <row r="87">
      <c r="B87" s="8" t="s">
        <v>119</v>
      </c>
      <c r="C87" s="10">
        <v>2721.0</v>
      </c>
      <c r="D87" s="9">
        <v>10.0</v>
      </c>
      <c r="N87" s="9">
        <v>130.0</v>
      </c>
      <c r="O87" s="9">
        <v>85.0</v>
      </c>
      <c r="P87" s="9">
        <v>63.0</v>
      </c>
      <c r="Q87" s="9">
        <v>92.0</v>
      </c>
      <c r="R87" s="9">
        <v>164.0</v>
      </c>
      <c r="S87" s="9">
        <v>142.0</v>
      </c>
      <c r="T87" s="9">
        <v>15.0</v>
      </c>
    </row>
    <row r="88">
      <c r="B88" s="8" t="s">
        <v>120</v>
      </c>
      <c r="C88" s="10">
        <v>6435.0</v>
      </c>
      <c r="D88" s="9">
        <v>8.0</v>
      </c>
      <c r="N88" s="9">
        <v>168.0</v>
      </c>
      <c r="O88" s="9">
        <v>70.0</v>
      </c>
      <c r="P88" s="9">
        <v>43.0</v>
      </c>
      <c r="Q88" s="9">
        <v>117.0</v>
      </c>
      <c r="R88" s="9">
        <v>177.0</v>
      </c>
      <c r="S88" s="9">
        <v>31.0</v>
      </c>
      <c r="T88" s="9">
        <v>184.0</v>
      </c>
    </row>
    <row r="89">
      <c r="B89" s="8" t="s">
        <v>121</v>
      </c>
      <c r="C89" s="10">
        <v>5775.0</v>
      </c>
      <c r="D89" s="9">
        <v>4.0</v>
      </c>
      <c r="N89" s="9">
        <v>166.0</v>
      </c>
      <c r="O89" s="9">
        <v>184.0</v>
      </c>
      <c r="P89" s="9">
        <v>41.0</v>
      </c>
      <c r="Q89" s="9">
        <v>135.0</v>
      </c>
      <c r="R89" s="9">
        <v>188.0</v>
      </c>
      <c r="S89" s="9">
        <v>88.0</v>
      </c>
      <c r="T89" s="9">
        <v>63.0</v>
      </c>
    </row>
    <row r="90">
      <c r="B90" s="8" t="s">
        <v>122</v>
      </c>
      <c r="C90" s="10">
        <v>2749.0</v>
      </c>
      <c r="D90" s="9">
        <v>2.0</v>
      </c>
      <c r="N90" s="9">
        <v>187.0</v>
      </c>
      <c r="O90" s="9">
        <v>96.0</v>
      </c>
      <c r="P90" s="9">
        <v>21.0</v>
      </c>
      <c r="Q90" s="9">
        <v>84.0</v>
      </c>
      <c r="R90" s="9">
        <v>19.0</v>
      </c>
      <c r="S90" s="9">
        <v>40.0</v>
      </c>
      <c r="T90" s="9">
        <v>12.0</v>
      </c>
    </row>
    <row r="91">
      <c r="B91" s="8" t="s">
        <v>123</v>
      </c>
      <c r="C91" s="10">
        <v>1282.0</v>
      </c>
      <c r="D91" s="9">
        <v>8.0</v>
      </c>
      <c r="N91" s="9">
        <v>70.0</v>
      </c>
      <c r="O91" s="9">
        <v>172.0</v>
      </c>
      <c r="P91" s="9">
        <v>160.0</v>
      </c>
      <c r="Q91" s="9">
        <v>103.0</v>
      </c>
      <c r="R91" s="9">
        <v>157.0</v>
      </c>
      <c r="S91" s="9">
        <v>87.0</v>
      </c>
      <c r="T91" s="9">
        <v>112.0</v>
      </c>
    </row>
    <row r="92">
      <c r="B92" s="8" t="s">
        <v>124</v>
      </c>
      <c r="C92" s="10">
        <v>1841.0</v>
      </c>
      <c r="D92" s="9">
        <v>7.0</v>
      </c>
      <c r="N92" s="9">
        <v>185.0</v>
      </c>
      <c r="O92" s="9">
        <v>46.0</v>
      </c>
      <c r="P92" s="9">
        <v>111.0</v>
      </c>
      <c r="Q92" s="9">
        <v>101.0</v>
      </c>
      <c r="R92" s="9">
        <v>159.0</v>
      </c>
      <c r="S92" s="9">
        <v>98.0</v>
      </c>
      <c r="T92" s="9">
        <v>189.0</v>
      </c>
    </row>
    <row r="93">
      <c r="B93" s="8" t="s">
        <v>125</v>
      </c>
      <c r="C93" s="10">
        <v>5246.0</v>
      </c>
      <c r="D93" s="9">
        <v>11.0</v>
      </c>
      <c r="N93" s="9">
        <v>33.0</v>
      </c>
      <c r="O93" s="9">
        <v>193.0</v>
      </c>
      <c r="P93" s="9">
        <v>176.0</v>
      </c>
      <c r="Q93" s="9">
        <v>80.0</v>
      </c>
      <c r="R93" s="9">
        <v>170.0</v>
      </c>
      <c r="S93" s="9">
        <v>26.0</v>
      </c>
      <c r="T93" s="9">
        <v>81.0</v>
      </c>
    </row>
    <row r="94">
      <c r="B94" s="8" t="s">
        <v>126</v>
      </c>
      <c r="C94" s="10">
        <v>6624.0</v>
      </c>
      <c r="D94" s="9">
        <v>4.0</v>
      </c>
      <c r="N94" s="9">
        <v>188.0</v>
      </c>
      <c r="O94" s="9">
        <v>195.0</v>
      </c>
      <c r="P94" s="9">
        <v>58.0</v>
      </c>
      <c r="Q94" s="9">
        <v>196.0</v>
      </c>
      <c r="R94" s="9">
        <v>22.0</v>
      </c>
      <c r="S94" s="9">
        <v>76.0</v>
      </c>
      <c r="T94" s="9">
        <v>179.0</v>
      </c>
    </row>
    <row r="95">
      <c r="B95" s="8" t="s">
        <v>127</v>
      </c>
      <c r="C95" s="10">
        <v>9537.0</v>
      </c>
      <c r="D95" s="9">
        <v>8.0</v>
      </c>
      <c r="N95" s="9">
        <v>67.0</v>
      </c>
      <c r="O95" s="9">
        <v>171.0</v>
      </c>
      <c r="P95" s="9">
        <v>88.0</v>
      </c>
      <c r="Q95" s="9">
        <v>36.0</v>
      </c>
      <c r="R95" s="9">
        <v>121.0</v>
      </c>
      <c r="S95" s="9">
        <v>199.0</v>
      </c>
      <c r="T95" s="9">
        <v>175.0</v>
      </c>
    </row>
    <row r="96">
      <c r="B96" s="8" t="s">
        <v>128</v>
      </c>
      <c r="C96" s="10">
        <v>1801.0</v>
      </c>
      <c r="D96" s="9">
        <v>3.0</v>
      </c>
      <c r="N96" s="9">
        <v>25.0</v>
      </c>
      <c r="O96" s="9">
        <v>178.0</v>
      </c>
      <c r="P96" s="9">
        <v>192.0</v>
      </c>
      <c r="Q96" s="9">
        <v>165.0</v>
      </c>
      <c r="R96" s="9">
        <v>30.0</v>
      </c>
      <c r="S96" s="9">
        <v>49.0</v>
      </c>
      <c r="T96" s="9">
        <v>182.0</v>
      </c>
    </row>
    <row r="97">
      <c r="B97" s="8" t="s">
        <v>129</v>
      </c>
      <c r="C97" s="10">
        <v>2795.0</v>
      </c>
      <c r="D97" s="9">
        <v>4.0</v>
      </c>
      <c r="N97" s="9">
        <v>127.0</v>
      </c>
      <c r="O97" s="9">
        <v>91.0</v>
      </c>
      <c r="P97" s="9">
        <v>161.0</v>
      </c>
      <c r="Q97" s="9">
        <v>132.0</v>
      </c>
      <c r="R97" s="9">
        <v>62.0</v>
      </c>
      <c r="S97" s="9">
        <v>32.0</v>
      </c>
      <c r="T97" s="9">
        <v>168.0</v>
      </c>
    </row>
    <row r="98">
      <c r="B98" s="8" t="s">
        <v>130</v>
      </c>
      <c r="C98" s="10">
        <v>9671.0</v>
      </c>
      <c r="D98" s="9">
        <v>5.0</v>
      </c>
      <c r="N98" s="9">
        <v>165.0</v>
      </c>
      <c r="O98" s="9">
        <v>127.0</v>
      </c>
      <c r="P98" s="9">
        <v>154.0</v>
      </c>
      <c r="Q98" s="9">
        <v>53.0</v>
      </c>
      <c r="R98" s="9">
        <v>11.0</v>
      </c>
      <c r="S98" s="9">
        <v>0.0</v>
      </c>
      <c r="T98" s="9">
        <v>157.0</v>
      </c>
    </row>
    <row r="99">
      <c r="B99" s="8" t="s">
        <v>131</v>
      </c>
      <c r="C99" s="10">
        <v>5602.0</v>
      </c>
      <c r="D99" s="9">
        <v>2.0</v>
      </c>
      <c r="N99" s="9">
        <v>154.0</v>
      </c>
      <c r="O99" s="9">
        <v>36.0</v>
      </c>
      <c r="P99" s="9">
        <v>186.0</v>
      </c>
      <c r="Q99" s="9">
        <v>52.0</v>
      </c>
      <c r="R99" s="9">
        <v>144.0</v>
      </c>
      <c r="S99" s="9">
        <v>97.0</v>
      </c>
      <c r="T99" s="9">
        <v>101.0</v>
      </c>
    </row>
    <row r="100">
      <c r="B100" s="8" t="s">
        <v>132</v>
      </c>
      <c r="C100" s="10">
        <v>4329.0</v>
      </c>
      <c r="D100" s="9">
        <v>12.0</v>
      </c>
      <c r="N100" s="9">
        <v>99.0</v>
      </c>
      <c r="O100" s="9">
        <v>148.0</v>
      </c>
      <c r="P100" s="9">
        <v>52.0</v>
      </c>
      <c r="Q100" s="9">
        <v>126.0</v>
      </c>
      <c r="R100" s="9">
        <v>78.0</v>
      </c>
      <c r="S100" s="9">
        <v>130.0</v>
      </c>
      <c r="T100" s="9">
        <v>35.0</v>
      </c>
    </row>
    <row r="101">
      <c r="B101" s="8" t="s">
        <v>133</v>
      </c>
      <c r="C101" s="10">
        <v>7135.0</v>
      </c>
      <c r="D101" s="9">
        <v>9.0</v>
      </c>
      <c r="N101" s="9">
        <v>186.0</v>
      </c>
      <c r="O101" s="9">
        <v>86.0</v>
      </c>
      <c r="P101" s="9">
        <v>100.0</v>
      </c>
      <c r="Q101" s="9">
        <v>63.0</v>
      </c>
      <c r="R101" s="9">
        <v>0.0</v>
      </c>
      <c r="S101" s="9">
        <v>187.0</v>
      </c>
      <c r="T101" s="9">
        <v>132.0</v>
      </c>
    </row>
    <row r="102">
      <c r="B102" s="8" t="s">
        <v>134</v>
      </c>
      <c r="C102" s="10">
        <v>5760.0</v>
      </c>
      <c r="D102" s="9">
        <v>8.0</v>
      </c>
      <c r="N102" s="9">
        <v>48.0</v>
      </c>
      <c r="O102" s="9">
        <v>182.0</v>
      </c>
      <c r="P102" s="9">
        <v>171.0</v>
      </c>
      <c r="Q102" s="9">
        <v>135.0</v>
      </c>
      <c r="R102" s="9">
        <v>142.0</v>
      </c>
      <c r="S102" s="9">
        <v>70.0</v>
      </c>
      <c r="T102" s="9">
        <v>120.0</v>
      </c>
    </row>
    <row r="103">
      <c r="B103" s="8" t="s">
        <v>135</v>
      </c>
      <c r="C103" s="10">
        <v>2935.0</v>
      </c>
      <c r="D103" s="9">
        <v>10.0</v>
      </c>
      <c r="N103" s="9">
        <v>91.0</v>
      </c>
      <c r="O103" s="9">
        <v>196.0</v>
      </c>
      <c r="P103" s="9">
        <v>47.0</v>
      </c>
      <c r="Q103" s="9">
        <v>78.0</v>
      </c>
      <c r="R103" s="9">
        <v>65.0</v>
      </c>
      <c r="S103" s="9">
        <v>139.0</v>
      </c>
      <c r="T103" s="9">
        <v>135.0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5" max="5" width="14.63"/>
    <col customWidth="1" min="6" max="6" width="14.75"/>
    <col customWidth="1" min="7" max="7" width="16.75"/>
  </cols>
  <sheetData>
    <row r="2">
      <c r="D2" s="2" t="s">
        <v>1</v>
      </c>
      <c r="F2" s="2" t="s">
        <v>3</v>
      </c>
    </row>
    <row r="3">
      <c r="A3" s="2" t="s">
        <v>4</v>
      </c>
      <c r="B3" s="2" t="s">
        <v>6</v>
      </c>
      <c r="C3" s="2" t="s">
        <v>9</v>
      </c>
      <c r="D3" s="2" t="s">
        <v>12</v>
      </c>
      <c r="E3" s="2" t="s">
        <v>14</v>
      </c>
      <c r="F3" s="2" t="s">
        <v>12</v>
      </c>
      <c r="G3" s="2" t="s">
        <v>14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26</v>
      </c>
      <c r="B4" s="8" t="s">
        <v>28</v>
      </c>
      <c r="C4" s="8" t="s">
        <v>29</v>
      </c>
      <c r="D4" s="10">
        <v>308.0</v>
      </c>
      <c r="E4" s="9">
        <v>5.0</v>
      </c>
      <c r="F4" s="10">
        <v>173.0</v>
      </c>
      <c r="G4" s="9">
        <v>27.0</v>
      </c>
    </row>
    <row r="5">
      <c r="A5" s="8" t="s">
        <v>26</v>
      </c>
      <c r="B5" s="8" t="s">
        <v>33</v>
      </c>
      <c r="C5" s="8" t="s">
        <v>29</v>
      </c>
      <c r="D5" s="10">
        <v>937.0</v>
      </c>
      <c r="E5" s="9">
        <v>3.0</v>
      </c>
      <c r="F5" s="10">
        <v>237.0</v>
      </c>
      <c r="G5" s="9">
        <v>40.0</v>
      </c>
    </row>
    <row r="6">
      <c r="A6" s="8" t="s">
        <v>26</v>
      </c>
      <c r="B6" s="8" t="s">
        <v>38</v>
      </c>
      <c r="C6" s="8" t="s">
        <v>29</v>
      </c>
      <c r="D6" s="10">
        <v>484.0</v>
      </c>
      <c r="E6" s="9">
        <v>4.0</v>
      </c>
      <c r="F6" s="10">
        <v>81.0</v>
      </c>
      <c r="G6" s="9">
        <v>25.0</v>
      </c>
    </row>
    <row r="7">
      <c r="A7" s="8" t="s">
        <v>26</v>
      </c>
      <c r="B7" s="8" t="s">
        <v>28</v>
      </c>
      <c r="C7" s="8" t="s">
        <v>42</v>
      </c>
      <c r="D7" s="10">
        <v>124.0</v>
      </c>
      <c r="E7" s="9">
        <v>6.0</v>
      </c>
      <c r="F7" s="10">
        <v>198.0</v>
      </c>
      <c r="G7" s="9">
        <v>38.0</v>
      </c>
    </row>
    <row r="8">
      <c r="A8" s="8" t="s">
        <v>26</v>
      </c>
      <c r="B8" s="8" t="s">
        <v>33</v>
      </c>
      <c r="C8" s="8" t="s">
        <v>42</v>
      </c>
      <c r="D8" s="10">
        <v>112.0</v>
      </c>
      <c r="E8" s="9">
        <v>6.0</v>
      </c>
      <c r="F8" s="10">
        <v>64.0</v>
      </c>
      <c r="G8" s="9">
        <v>20.0</v>
      </c>
    </row>
    <row r="9">
      <c r="A9" s="8" t="s">
        <v>26</v>
      </c>
      <c r="B9" s="8" t="s">
        <v>38</v>
      </c>
      <c r="C9" s="8" t="s">
        <v>42</v>
      </c>
      <c r="D9" s="10">
        <v>719.0</v>
      </c>
      <c r="E9" s="9">
        <v>2.0</v>
      </c>
      <c r="F9" s="10">
        <v>215.0</v>
      </c>
      <c r="G9" s="9">
        <v>35.0</v>
      </c>
    </row>
    <row r="10">
      <c r="A10" s="8" t="s">
        <v>26</v>
      </c>
      <c r="B10" s="8" t="s">
        <v>28</v>
      </c>
      <c r="C10" s="8" t="s">
        <v>50</v>
      </c>
      <c r="D10" s="10">
        <v>238.0</v>
      </c>
      <c r="E10" s="9">
        <v>14.0</v>
      </c>
      <c r="F10" s="10">
        <v>98.0</v>
      </c>
      <c r="G10" s="9">
        <v>20.0</v>
      </c>
    </row>
    <row r="11">
      <c r="A11" s="8" t="s">
        <v>26</v>
      </c>
      <c r="B11" s="8" t="s">
        <v>33</v>
      </c>
      <c r="C11" s="8" t="s">
        <v>50</v>
      </c>
      <c r="D11" s="10">
        <v>684.0</v>
      </c>
      <c r="E11" s="9">
        <v>2.0</v>
      </c>
      <c r="F11" s="10">
        <v>210.0</v>
      </c>
      <c r="G11" s="9">
        <v>26.0</v>
      </c>
    </row>
    <row r="12">
      <c r="A12" s="8" t="s">
        <v>26</v>
      </c>
      <c r="B12" s="8" t="s">
        <v>38</v>
      </c>
      <c r="C12" s="8" t="s">
        <v>50</v>
      </c>
      <c r="D12" s="10">
        <v>793.0</v>
      </c>
      <c r="E12" s="9">
        <v>10.0</v>
      </c>
      <c r="F12" s="10">
        <v>202.0</v>
      </c>
      <c r="G12" s="9">
        <v>40.0</v>
      </c>
    </row>
    <row r="13">
      <c r="A13" s="8" t="s">
        <v>26</v>
      </c>
      <c r="B13" s="8" t="s">
        <v>28</v>
      </c>
      <c r="C13" s="8" t="s">
        <v>57</v>
      </c>
      <c r="D13" s="10">
        <v>629.0</v>
      </c>
      <c r="E13" s="9">
        <v>12.0</v>
      </c>
      <c r="F13" s="10">
        <v>68.0</v>
      </c>
      <c r="G13" s="9">
        <v>24.0</v>
      </c>
    </row>
    <row r="14">
      <c r="A14" s="8" t="s">
        <v>26</v>
      </c>
      <c r="B14" s="8" t="s">
        <v>33</v>
      </c>
      <c r="C14" s="8" t="s">
        <v>57</v>
      </c>
      <c r="D14" s="10">
        <v>541.0</v>
      </c>
      <c r="E14" s="9">
        <v>13.0</v>
      </c>
      <c r="F14" s="10">
        <v>54.0</v>
      </c>
      <c r="G14" s="9">
        <v>24.0</v>
      </c>
    </row>
    <row r="15">
      <c r="A15" s="8" t="s">
        <v>26</v>
      </c>
      <c r="B15" s="8" t="s">
        <v>38</v>
      </c>
      <c r="C15" s="8" t="s">
        <v>57</v>
      </c>
      <c r="D15" s="10">
        <v>322.0</v>
      </c>
      <c r="E15" s="9">
        <v>14.0</v>
      </c>
      <c r="F15" s="10">
        <v>111.0</v>
      </c>
      <c r="G15" s="9">
        <v>40.0</v>
      </c>
    </row>
    <row r="16">
      <c r="A16" s="8" t="s">
        <v>26</v>
      </c>
      <c r="B16" s="8" t="s">
        <v>28</v>
      </c>
      <c r="C16" s="8" t="s">
        <v>66</v>
      </c>
      <c r="D16" s="10">
        <v>452.0</v>
      </c>
      <c r="E16" s="9">
        <v>12.0</v>
      </c>
      <c r="F16" s="10">
        <v>82.0</v>
      </c>
      <c r="G16" s="9">
        <v>31.0</v>
      </c>
    </row>
    <row r="17">
      <c r="A17" s="8" t="s">
        <v>26</v>
      </c>
      <c r="B17" s="8" t="s">
        <v>33</v>
      </c>
      <c r="C17" s="8" t="s">
        <v>66</v>
      </c>
      <c r="D17" s="10">
        <v>442.0</v>
      </c>
      <c r="E17" s="9">
        <v>2.0</v>
      </c>
      <c r="F17" s="10">
        <v>146.0</v>
      </c>
      <c r="G17" s="9">
        <v>34.0</v>
      </c>
    </row>
    <row r="18">
      <c r="A18" s="8" t="s">
        <v>26</v>
      </c>
      <c r="B18" s="8" t="s">
        <v>38</v>
      </c>
      <c r="C18" s="8" t="s">
        <v>66</v>
      </c>
      <c r="D18" s="10">
        <v>776.0</v>
      </c>
      <c r="E18" s="9">
        <v>14.0</v>
      </c>
      <c r="F18" s="10">
        <v>55.0</v>
      </c>
      <c r="G18" s="9">
        <v>32.0</v>
      </c>
    </row>
    <row r="19">
      <c r="A19" s="8" t="s">
        <v>26</v>
      </c>
      <c r="B19" s="8" t="s">
        <v>29</v>
      </c>
      <c r="C19" s="8" t="s">
        <v>50</v>
      </c>
      <c r="D19" s="10">
        <v>654.0</v>
      </c>
      <c r="E19" s="9">
        <v>6.0</v>
      </c>
      <c r="F19" s="10">
        <v>131.0</v>
      </c>
      <c r="G19" s="9">
        <v>22.0</v>
      </c>
    </row>
    <row r="20">
      <c r="A20" s="8" t="s">
        <v>26</v>
      </c>
      <c r="B20" s="8" t="s">
        <v>42</v>
      </c>
      <c r="C20" s="8" t="s">
        <v>50</v>
      </c>
      <c r="D20" s="10">
        <v>485.0</v>
      </c>
      <c r="E20" s="9">
        <v>10.0</v>
      </c>
      <c r="F20" s="10">
        <v>101.0</v>
      </c>
      <c r="G20" s="9">
        <v>25.0</v>
      </c>
    </row>
    <row r="21">
      <c r="A21" s="8" t="s">
        <v>26</v>
      </c>
      <c r="B21" s="8" t="s">
        <v>29</v>
      </c>
      <c r="C21" s="8" t="s">
        <v>57</v>
      </c>
      <c r="D21" s="10">
        <v>533.0</v>
      </c>
      <c r="E21" s="9">
        <v>4.0</v>
      </c>
      <c r="F21" s="10">
        <v>112.0</v>
      </c>
      <c r="G21" s="9">
        <v>28.0</v>
      </c>
    </row>
    <row r="22">
      <c r="A22" s="8" t="s">
        <v>26</v>
      </c>
      <c r="B22" s="8" t="s">
        <v>42</v>
      </c>
      <c r="C22" s="8" t="s">
        <v>57</v>
      </c>
      <c r="D22" s="10">
        <v>447.0</v>
      </c>
      <c r="E22" s="9">
        <v>1.0</v>
      </c>
      <c r="F22" s="10">
        <v>172.0</v>
      </c>
      <c r="G22" s="9">
        <v>40.0</v>
      </c>
    </row>
    <row r="23">
      <c r="A23" s="8" t="s">
        <v>26</v>
      </c>
      <c r="B23" s="8" t="s">
        <v>29</v>
      </c>
      <c r="C23" s="8" t="s">
        <v>66</v>
      </c>
      <c r="D23" s="10">
        <v>818.0</v>
      </c>
      <c r="E23" s="9">
        <v>3.0</v>
      </c>
      <c r="F23" s="10">
        <v>139.0</v>
      </c>
      <c r="G23" s="9">
        <v>21.0</v>
      </c>
    </row>
    <row r="24">
      <c r="A24" s="8" t="s">
        <v>26</v>
      </c>
      <c r="B24" s="8" t="s">
        <v>42</v>
      </c>
      <c r="C24" s="8" t="s">
        <v>66</v>
      </c>
      <c r="D24" s="10">
        <v>878.0</v>
      </c>
      <c r="E24" s="9">
        <v>5.0</v>
      </c>
      <c r="F24" s="10">
        <v>181.0</v>
      </c>
      <c r="G24" s="9">
        <v>40.0</v>
      </c>
    </row>
    <row r="25">
      <c r="A25" s="8" t="s">
        <v>30</v>
      </c>
      <c r="B25" s="8" t="s">
        <v>28</v>
      </c>
      <c r="C25" s="8" t="s">
        <v>29</v>
      </c>
      <c r="D25" s="10">
        <v>670.0</v>
      </c>
      <c r="E25" s="9">
        <v>4.0</v>
      </c>
      <c r="F25" s="10">
        <v>165.0</v>
      </c>
      <c r="G25" s="9">
        <v>30.0</v>
      </c>
    </row>
    <row r="26">
      <c r="A26" s="8" t="s">
        <v>30</v>
      </c>
      <c r="B26" s="8" t="s">
        <v>33</v>
      </c>
      <c r="C26" s="8" t="s">
        <v>29</v>
      </c>
      <c r="D26" s="10">
        <v>878.0</v>
      </c>
      <c r="E26" s="9">
        <v>12.0</v>
      </c>
      <c r="F26" s="10">
        <v>244.0</v>
      </c>
      <c r="G26" s="9">
        <v>38.0</v>
      </c>
    </row>
    <row r="27">
      <c r="A27" s="8" t="s">
        <v>30</v>
      </c>
      <c r="B27" s="8" t="s">
        <v>38</v>
      </c>
      <c r="C27" s="8" t="s">
        <v>29</v>
      </c>
      <c r="D27" s="10">
        <v>656.0</v>
      </c>
      <c r="E27" s="9">
        <v>11.0</v>
      </c>
      <c r="F27" s="10">
        <v>140.0</v>
      </c>
      <c r="G27" s="9">
        <v>33.0</v>
      </c>
    </row>
    <row r="28">
      <c r="A28" s="8" t="s">
        <v>30</v>
      </c>
      <c r="B28" s="8" t="s">
        <v>28</v>
      </c>
      <c r="C28" s="8" t="s">
        <v>42</v>
      </c>
      <c r="D28" s="10">
        <v>891.0</v>
      </c>
      <c r="E28" s="9">
        <v>4.0</v>
      </c>
      <c r="F28" s="10">
        <v>200.0</v>
      </c>
      <c r="G28" s="9">
        <v>38.0</v>
      </c>
    </row>
    <row r="29">
      <c r="A29" s="8" t="s">
        <v>30</v>
      </c>
      <c r="B29" s="8" t="s">
        <v>33</v>
      </c>
      <c r="C29" s="8" t="s">
        <v>42</v>
      </c>
      <c r="D29" s="10">
        <v>152.0</v>
      </c>
      <c r="E29" s="9">
        <v>10.0</v>
      </c>
      <c r="F29" s="10">
        <v>246.0</v>
      </c>
      <c r="G29" s="9">
        <v>22.0</v>
      </c>
    </row>
    <row r="30">
      <c r="A30" s="8" t="s">
        <v>30</v>
      </c>
      <c r="B30" s="8" t="s">
        <v>38</v>
      </c>
      <c r="C30" s="8" t="s">
        <v>42</v>
      </c>
      <c r="D30" s="10">
        <v>664.0</v>
      </c>
      <c r="E30" s="9">
        <v>13.0</v>
      </c>
      <c r="F30" s="10">
        <v>60.0</v>
      </c>
      <c r="G30" s="9">
        <v>29.0</v>
      </c>
    </row>
    <row r="31">
      <c r="A31" s="8" t="s">
        <v>30</v>
      </c>
      <c r="B31" s="8" t="s">
        <v>28</v>
      </c>
      <c r="C31" s="8" t="s">
        <v>50</v>
      </c>
      <c r="D31" s="10">
        <v>941.0</v>
      </c>
      <c r="E31" s="9">
        <v>1.0</v>
      </c>
      <c r="F31" s="10">
        <v>110.0</v>
      </c>
      <c r="G31" s="9">
        <v>27.0</v>
      </c>
    </row>
    <row r="32">
      <c r="A32" s="8" t="s">
        <v>30</v>
      </c>
      <c r="B32" s="8" t="s">
        <v>33</v>
      </c>
      <c r="C32" s="8" t="s">
        <v>50</v>
      </c>
      <c r="D32" s="10">
        <v>263.0</v>
      </c>
      <c r="E32" s="9">
        <v>4.0</v>
      </c>
      <c r="F32" s="10">
        <v>81.0</v>
      </c>
      <c r="G32" s="9">
        <v>21.0</v>
      </c>
    </row>
    <row r="33">
      <c r="A33" s="8" t="s">
        <v>30</v>
      </c>
      <c r="B33" s="8" t="s">
        <v>38</v>
      </c>
      <c r="C33" s="8" t="s">
        <v>50</v>
      </c>
      <c r="D33" s="10">
        <v>845.0</v>
      </c>
      <c r="E33" s="9">
        <v>6.0</v>
      </c>
      <c r="F33" s="10">
        <v>200.0</v>
      </c>
      <c r="G33" s="9">
        <v>30.0</v>
      </c>
    </row>
    <row r="34">
      <c r="A34" s="8" t="s">
        <v>30</v>
      </c>
      <c r="B34" s="8" t="s">
        <v>28</v>
      </c>
      <c r="C34" s="8" t="s">
        <v>57</v>
      </c>
      <c r="D34" s="10">
        <v>380.0</v>
      </c>
      <c r="E34" s="9">
        <v>13.0</v>
      </c>
      <c r="F34" s="10">
        <v>66.0</v>
      </c>
      <c r="G34" s="9">
        <v>26.0</v>
      </c>
    </row>
    <row r="35">
      <c r="A35" s="8" t="s">
        <v>30</v>
      </c>
      <c r="B35" s="8" t="s">
        <v>33</v>
      </c>
      <c r="C35" s="8" t="s">
        <v>57</v>
      </c>
      <c r="D35" s="10">
        <v>433.0</v>
      </c>
      <c r="E35" s="9">
        <v>1.0</v>
      </c>
      <c r="F35" s="10">
        <v>132.0</v>
      </c>
      <c r="G35" s="9">
        <v>34.0</v>
      </c>
    </row>
    <row r="36">
      <c r="A36" s="8" t="s">
        <v>30</v>
      </c>
      <c r="B36" s="8" t="s">
        <v>38</v>
      </c>
      <c r="C36" s="8" t="s">
        <v>57</v>
      </c>
      <c r="D36" s="10">
        <v>308.0</v>
      </c>
      <c r="E36" s="9">
        <v>1.0</v>
      </c>
      <c r="F36" s="10">
        <v>163.0</v>
      </c>
      <c r="G36" s="9">
        <v>30.0</v>
      </c>
    </row>
    <row r="37">
      <c r="A37" s="8" t="s">
        <v>30</v>
      </c>
      <c r="B37" s="8" t="s">
        <v>28</v>
      </c>
      <c r="C37" s="8" t="s">
        <v>66</v>
      </c>
      <c r="D37" s="10">
        <v>991.0</v>
      </c>
      <c r="E37" s="9">
        <v>11.0</v>
      </c>
      <c r="F37" s="10">
        <v>203.0</v>
      </c>
      <c r="G37" s="9">
        <v>26.0</v>
      </c>
    </row>
    <row r="38">
      <c r="A38" s="8" t="s">
        <v>30</v>
      </c>
      <c r="B38" s="8" t="s">
        <v>33</v>
      </c>
      <c r="C38" s="8" t="s">
        <v>66</v>
      </c>
      <c r="D38" s="10">
        <v>931.0</v>
      </c>
      <c r="E38" s="9">
        <v>5.0</v>
      </c>
      <c r="F38" s="10">
        <v>62.0</v>
      </c>
      <c r="G38" s="9">
        <v>22.0</v>
      </c>
    </row>
    <row r="39">
      <c r="A39" s="8" t="s">
        <v>30</v>
      </c>
      <c r="B39" s="8" t="s">
        <v>38</v>
      </c>
      <c r="C39" s="8" t="s">
        <v>66</v>
      </c>
      <c r="D39" s="10">
        <v>692.0</v>
      </c>
      <c r="E39" s="9">
        <v>2.0</v>
      </c>
      <c r="F39" s="10">
        <v>70.0</v>
      </c>
      <c r="G39" s="9">
        <v>31.0</v>
      </c>
    </row>
    <row r="40">
      <c r="A40" s="8" t="s">
        <v>30</v>
      </c>
      <c r="B40" s="8" t="s">
        <v>29</v>
      </c>
      <c r="C40" s="8" t="s">
        <v>50</v>
      </c>
      <c r="D40" s="10">
        <v>822.0</v>
      </c>
      <c r="E40" s="9">
        <v>4.0</v>
      </c>
      <c r="F40" s="10">
        <v>76.0</v>
      </c>
      <c r="G40" s="9">
        <v>26.0</v>
      </c>
    </row>
    <row r="41">
      <c r="A41" s="8" t="s">
        <v>30</v>
      </c>
      <c r="B41" s="8" t="s">
        <v>42</v>
      </c>
      <c r="C41" s="8" t="s">
        <v>50</v>
      </c>
      <c r="D41" s="10">
        <v>346.0</v>
      </c>
      <c r="E41" s="9">
        <v>2.0</v>
      </c>
      <c r="F41" s="10">
        <v>237.0</v>
      </c>
      <c r="G41" s="9">
        <v>32.0</v>
      </c>
    </row>
    <row r="42">
      <c r="A42" s="8" t="s">
        <v>30</v>
      </c>
      <c r="B42" s="8" t="s">
        <v>29</v>
      </c>
      <c r="C42" s="8" t="s">
        <v>57</v>
      </c>
      <c r="D42" s="10">
        <v>124.0</v>
      </c>
      <c r="E42" s="9">
        <v>2.0</v>
      </c>
      <c r="F42" s="10">
        <v>190.0</v>
      </c>
      <c r="G42" s="9">
        <v>39.0</v>
      </c>
    </row>
    <row r="43">
      <c r="A43" s="8" t="s">
        <v>30</v>
      </c>
      <c r="B43" s="8" t="s">
        <v>42</v>
      </c>
      <c r="C43" s="8" t="s">
        <v>57</v>
      </c>
      <c r="D43" s="10">
        <v>155.0</v>
      </c>
      <c r="E43" s="9">
        <v>8.0</v>
      </c>
      <c r="F43" s="10">
        <v>180.0</v>
      </c>
      <c r="G43" s="9">
        <v>25.0</v>
      </c>
    </row>
    <row r="44">
      <c r="A44" s="8" t="s">
        <v>30</v>
      </c>
      <c r="B44" s="8" t="s">
        <v>29</v>
      </c>
      <c r="C44" s="8" t="s">
        <v>66</v>
      </c>
      <c r="D44" s="10">
        <v>357.0</v>
      </c>
      <c r="E44" s="9">
        <v>12.0</v>
      </c>
      <c r="F44" s="10">
        <v>114.0</v>
      </c>
      <c r="G44" s="9">
        <v>28.0</v>
      </c>
    </row>
    <row r="45">
      <c r="A45" s="8" t="s">
        <v>30</v>
      </c>
      <c r="B45" s="8" t="s">
        <v>42</v>
      </c>
      <c r="C45" s="8" t="s">
        <v>66</v>
      </c>
      <c r="D45" s="10">
        <v>364.0</v>
      </c>
      <c r="E45" s="9">
        <v>4.0</v>
      </c>
      <c r="F45" s="10">
        <v>75.0</v>
      </c>
      <c r="G45" s="9">
        <v>26.0</v>
      </c>
    </row>
    <row r="46">
      <c r="A46" s="8" t="s">
        <v>31</v>
      </c>
      <c r="B46" s="8" t="s">
        <v>28</v>
      </c>
      <c r="C46" s="8" t="s">
        <v>29</v>
      </c>
      <c r="D46" s="10">
        <v>168.0</v>
      </c>
      <c r="E46" s="9">
        <v>9.0</v>
      </c>
      <c r="F46" s="10">
        <v>205.0</v>
      </c>
      <c r="G46" s="9">
        <v>21.0</v>
      </c>
    </row>
    <row r="47">
      <c r="A47" s="8" t="s">
        <v>31</v>
      </c>
      <c r="B47" s="8" t="s">
        <v>33</v>
      </c>
      <c r="C47" s="8" t="s">
        <v>29</v>
      </c>
      <c r="D47" s="10">
        <v>306.0</v>
      </c>
      <c r="E47" s="9">
        <v>14.0</v>
      </c>
      <c r="F47" s="10">
        <v>241.0</v>
      </c>
      <c r="G47" s="9">
        <v>21.0</v>
      </c>
    </row>
    <row r="48">
      <c r="A48" s="20" t="s">
        <v>31</v>
      </c>
      <c r="B48" s="8" t="s">
        <v>38</v>
      </c>
      <c r="C48" s="8" t="s">
        <v>29</v>
      </c>
      <c r="D48" s="10">
        <v>317.0</v>
      </c>
      <c r="E48" s="9">
        <v>8.0</v>
      </c>
      <c r="F48" s="42">
        <v>128.0</v>
      </c>
      <c r="G48" s="9">
        <v>29.0</v>
      </c>
    </row>
    <row r="49">
      <c r="A49" s="8" t="s">
        <v>31</v>
      </c>
      <c r="B49" s="8" t="s">
        <v>28</v>
      </c>
      <c r="C49" s="8" t="s">
        <v>42</v>
      </c>
      <c r="D49" s="10">
        <v>984.0</v>
      </c>
      <c r="E49" s="9">
        <v>9.0</v>
      </c>
      <c r="F49" s="10">
        <v>226.0</v>
      </c>
      <c r="G49" s="9">
        <v>40.0</v>
      </c>
    </row>
    <row r="50">
      <c r="A50" s="8" t="s">
        <v>31</v>
      </c>
      <c r="B50" s="8" t="s">
        <v>33</v>
      </c>
      <c r="C50" s="8" t="s">
        <v>42</v>
      </c>
      <c r="D50" s="10">
        <v>104.0</v>
      </c>
      <c r="E50" s="9">
        <v>12.0</v>
      </c>
      <c r="F50" s="10">
        <v>67.0</v>
      </c>
      <c r="G50" s="9">
        <v>34.0</v>
      </c>
    </row>
    <row r="51">
      <c r="A51" s="8" t="s">
        <v>31</v>
      </c>
      <c r="B51" s="8" t="s">
        <v>38</v>
      </c>
      <c r="C51" s="8" t="s">
        <v>42</v>
      </c>
      <c r="D51" s="10">
        <v>208.0</v>
      </c>
      <c r="E51" s="9">
        <v>1.0</v>
      </c>
      <c r="F51" s="10">
        <v>68.0</v>
      </c>
      <c r="G51" s="9">
        <v>38.0</v>
      </c>
    </row>
    <row r="52">
      <c r="A52" s="8" t="s">
        <v>31</v>
      </c>
      <c r="B52" s="8" t="s">
        <v>28</v>
      </c>
      <c r="C52" s="8" t="s">
        <v>50</v>
      </c>
      <c r="D52" s="10">
        <v>700.0</v>
      </c>
      <c r="E52" s="9">
        <v>7.0</v>
      </c>
      <c r="F52" s="10">
        <v>127.0</v>
      </c>
      <c r="G52" s="9">
        <v>28.0</v>
      </c>
    </row>
    <row r="53">
      <c r="A53" s="8" t="s">
        <v>31</v>
      </c>
      <c r="B53" s="8" t="s">
        <v>33</v>
      </c>
      <c r="C53" s="8" t="s">
        <v>50</v>
      </c>
      <c r="D53" s="10">
        <v>985.0</v>
      </c>
      <c r="E53" s="9">
        <v>5.0</v>
      </c>
      <c r="F53" s="10">
        <v>246.0</v>
      </c>
      <c r="G53" s="9">
        <v>29.0</v>
      </c>
    </row>
    <row r="54">
      <c r="A54" s="8" t="s">
        <v>31</v>
      </c>
      <c r="B54" s="8" t="s">
        <v>38</v>
      </c>
      <c r="C54" s="8" t="s">
        <v>50</v>
      </c>
      <c r="D54" s="10">
        <v>245.0</v>
      </c>
      <c r="E54" s="9">
        <v>13.0</v>
      </c>
      <c r="F54" s="10">
        <v>217.0</v>
      </c>
      <c r="G54" s="9">
        <v>35.0</v>
      </c>
    </row>
    <row r="55">
      <c r="A55" s="8" t="s">
        <v>31</v>
      </c>
      <c r="B55" s="8" t="s">
        <v>28</v>
      </c>
      <c r="C55" s="8" t="s">
        <v>57</v>
      </c>
      <c r="D55" s="10">
        <v>659.0</v>
      </c>
      <c r="E55" s="9">
        <v>11.0</v>
      </c>
      <c r="F55" s="10">
        <v>171.0</v>
      </c>
      <c r="G55" s="9">
        <v>27.0</v>
      </c>
    </row>
    <row r="56">
      <c r="A56" s="8" t="s">
        <v>31</v>
      </c>
      <c r="B56" s="8" t="s">
        <v>33</v>
      </c>
      <c r="C56" s="8" t="s">
        <v>57</v>
      </c>
      <c r="D56" s="10">
        <v>467.0</v>
      </c>
      <c r="E56" s="9">
        <v>12.0</v>
      </c>
      <c r="F56" s="10">
        <v>229.0</v>
      </c>
      <c r="G56" s="9">
        <v>33.0</v>
      </c>
    </row>
    <row r="57">
      <c r="A57" s="8" t="s">
        <v>31</v>
      </c>
      <c r="B57" s="8" t="s">
        <v>38</v>
      </c>
      <c r="C57" s="8" t="s">
        <v>57</v>
      </c>
      <c r="D57" s="10">
        <v>925.0</v>
      </c>
      <c r="E57" s="9">
        <v>9.0</v>
      </c>
      <c r="F57" s="10">
        <v>171.0</v>
      </c>
      <c r="G57" s="9">
        <v>41.0</v>
      </c>
    </row>
    <row r="58">
      <c r="A58" s="8" t="s">
        <v>31</v>
      </c>
      <c r="B58" s="8" t="s">
        <v>28</v>
      </c>
      <c r="C58" s="8" t="s">
        <v>66</v>
      </c>
      <c r="D58" s="10">
        <v>818.0</v>
      </c>
      <c r="E58" s="9">
        <v>5.0</v>
      </c>
      <c r="F58" s="10">
        <v>128.0</v>
      </c>
      <c r="G58" s="9">
        <v>41.0</v>
      </c>
    </row>
    <row r="59">
      <c r="A59" s="8" t="s">
        <v>31</v>
      </c>
      <c r="B59" s="8" t="s">
        <v>33</v>
      </c>
      <c r="C59" s="8" t="s">
        <v>66</v>
      </c>
      <c r="D59" s="10">
        <v>186.0</v>
      </c>
      <c r="E59" s="9">
        <v>7.0</v>
      </c>
      <c r="F59" s="10">
        <v>103.0</v>
      </c>
      <c r="G59" s="9">
        <v>39.0</v>
      </c>
    </row>
    <row r="60">
      <c r="A60" s="8" t="s">
        <v>31</v>
      </c>
      <c r="B60" s="8" t="s">
        <v>38</v>
      </c>
      <c r="C60" s="8" t="s">
        <v>66</v>
      </c>
      <c r="D60" s="10">
        <v>934.0</v>
      </c>
      <c r="E60" s="9">
        <v>13.0</v>
      </c>
      <c r="F60" s="10">
        <v>187.0</v>
      </c>
      <c r="G60" s="9">
        <v>34.0</v>
      </c>
    </row>
    <row r="61">
      <c r="A61" s="8" t="s">
        <v>31</v>
      </c>
      <c r="B61" s="8" t="s">
        <v>29</v>
      </c>
      <c r="C61" s="8" t="s">
        <v>50</v>
      </c>
      <c r="D61" s="10">
        <v>772.0</v>
      </c>
      <c r="E61" s="9">
        <v>1.0</v>
      </c>
      <c r="F61" s="10">
        <v>61.0</v>
      </c>
      <c r="G61" s="9">
        <v>36.0</v>
      </c>
    </row>
    <row r="62">
      <c r="A62" s="8" t="s">
        <v>31</v>
      </c>
      <c r="B62" s="8" t="s">
        <v>42</v>
      </c>
      <c r="C62" s="8" t="s">
        <v>50</v>
      </c>
      <c r="D62" s="10">
        <v>151.0</v>
      </c>
      <c r="E62" s="9">
        <v>12.0</v>
      </c>
      <c r="F62" s="10">
        <v>118.0</v>
      </c>
      <c r="G62" s="9">
        <v>23.0</v>
      </c>
    </row>
    <row r="63">
      <c r="A63" s="20" t="s">
        <v>31</v>
      </c>
      <c r="B63" s="8" t="s">
        <v>29</v>
      </c>
      <c r="C63" s="8" t="s">
        <v>57</v>
      </c>
      <c r="D63" s="42">
        <v>429.0</v>
      </c>
      <c r="E63" s="9">
        <v>14.0</v>
      </c>
      <c r="F63" s="10">
        <v>66.0</v>
      </c>
      <c r="G63" s="9">
        <v>25.0</v>
      </c>
    </row>
    <row r="64">
      <c r="A64" s="8" t="s">
        <v>31</v>
      </c>
      <c r="B64" s="8" t="s">
        <v>42</v>
      </c>
      <c r="C64" s="8" t="s">
        <v>57</v>
      </c>
      <c r="D64" s="10">
        <v>417.0</v>
      </c>
      <c r="E64" s="9">
        <v>6.0</v>
      </c>
      <c r="F64" s="10">
        <v>159.0</v>
      </c>
      <c r="G64" s="9">
        <v>23.0</v>
      </c>
    </row>
    <row r="65">
      <c r="A65" s="8" t="s">
        <v>31</v>
      </c>
      <c r="B65" s="8" t="s">
        <v>29</v>
      </c>
      <c r="C65" s="8" t="s">
        <v>66</v>
      </c>
      <c r="D65" s="10">
        <v>959.0</v>
      </c>
      <c r="E65" s="9">
        <v>2.0</v>
      </c>
      <c r="F65" s="10">
        <v>117.0</v>
      </c>
      <c r="G65" s="9">
        <v>38.0</v>
      </c>
    </row>
    <row r="66">
      <c r="A66" s="8" t="s">
        <v>31</v>
      </c>
      <c r="B66" s="8" t="s">
        <v>42</v>
      </c>
      <c r="C66" s="8" t="s">
        <v>66</v>
      </c>
      <c r="D66" s="10">
        <v>462.0</v>
      </c>
      <c r="E66" s="9">
        <v>2.0</v>
      </c>
      <c r="F66" s="10">
        <v>167.0</v>
      </c>
      <c r="G66" s="9">
        <v>23.0</v>
      </c>
    </row>
    <row r="67">
      <c r="A67" s="8" t="s">
        <v>32</v>
      </c>
      <c r="B67" s="8" t="s">
        <v>28</v>
      </c>
      <c r="C67" s="8" t="s">
        <v>29</v>
      </c>
      <c r="D67" s="10">
        <v>628.0</v>
      </c>
      <c r="E67" s="9">
        <v>1.0</v>
      </c>
      <c r="F67" s="10">
        <v>235.0</v>
      </c>
      <c r="G67" s="9">
        <v>22.0</v>
      </c>
    </row>
    <row r="68">
      <c r="A68" s="8" t="s">
        <v>32</v>
      </c>
      <c r="B68" s="8" t="s">
        <v>33</v>
      </c>
      <c r="C68" s="8" t="s">
        <v>29</v>
      </c>
      <c r="D68" s="10">
        <v>489.0</v>
      </c>
      <c r="E68" s="9">
        <v>5.0</v>
      </c>
      <c r="F68" s="10">
        <v>204.0</v>
      </c>
      <c r="G68" s="9">
        <v>20.0</v>
      </c>
    </row>
    <row r="69">
      <c r="A69" s="8" t="s">
        <v>32</v>
      </c>
      <c r="B69" s="8" t="s">
        <v>38</v>
      </c>
      <c r="C69" s="8" t="s">
        <v>29</v>
      </c>
      <c r="D69" s="10">
        <v>895.0</v>
      </c>
      <c r="E69" s="9">
        <v>5.0</v>
      </c>
      <c r="F69" s="10">
        <v>179.0</v>
      </c>
      <c r="G69" s="9">
        <v>22.0</v>
      </c>
    </row>
    <row r="70">
      <c r="A70" s="8" t="s">
        <v>32</v>
      </c>
      <c r="B70" s="8" t="s">
        <v>28</v>
      </c>
      <c r="C70" s="8" t="s">
        <v>42</v>
      </c>
      <c r="D70" s="10">
        <v>913.0</v>
      </c>
      <c r="E70" s="9">
        <v>10.0</v>
      </c>
      <c r="F70" s="10">
        <v>164.0</v>
      </c>
      <c r="G70" s="9">
        <v>27.0</v>
      </c>
    </row>
    <row r="71">
      <c r="A71" s="8" t="s">
        <v>32</v>
      </c>
      <c r="B71" s="8" t="s">
        <v>33</v>
      </c>
      <c r="C71" s="8" t="s">
        <v>42</v>
      </c>
      <c r="D71" s="10">
        <v>155.0</v>
      </c>
      <c r="E71" s="9">
        <v>9.0</v>
      </c>
      <c r="F71" s="10">
        <v>173.0</v>
      </c>
      <c r="G71" s="9">
        <v>22.0</v>
      </c>
    </row>
    <row r="72">
      <c r="A72" s="8" t="s">
        <v>32</v>
      </c>
      <c r="B72" s="8" t="s">
        <v>38</v>
      </c>
      <c r="C72" s="8" t="s">
        <v>42</v>
      </c>
      <c r="D72" s="10">
        <v>499.0</v>
      </c>
      <c r="E72" s="9">
        <v>14.0</v>
      </c>
      <c r="F72" s="10">
        <v>246.0</v>
      </c>
      <c r="G72" s="9">
        <v>27.0</v>
      </c>
    </row>
    <row r="73">
      <c r="A73" s="8" t="s">
        <v>32</v>
      </c>
      <c r="B73" s="8" t="s">
        <v>28</v>
      </c>
      <c r="C73" s="8" t="s">
        <v>50</v>
      </c>
      <c r="D73" s="10">
        <v>445.0</v>
      </c>
      <c r="E73" s="9">
        <v>10.0</v>
      </c>
      <c r="F73" s="10">
        <v>204.0</v>
      </c>
      <c r="G73" s="9">
        <v>25.0</v>
      </c>
    </row>
    <row r="74">
      <c r="A74" s="8" t="s">
        <v>32</v>
      </c>
      <c r="B74" s="8" t="s">
        <v>33</v>
      </c>
      <c r="C74" s="8" t="s">
        <v>50</v>
      </c>
      <c r="D74" s="10">
        <v>696.0</v>
      </c>
      <c r="E74" s="9">
        <v>7.0</v>
      </c>
      <c r="F74" s="10">
        <v>145.0</v>
      </c>
      <c r="G74" s="9">
        <v>22.0</v>
      </c>
    </row>
    <row r="75">
      <c r="A75" s="8" t="s">
        <v>32</v>
      </c>
      <c r="B75" s="8" t="s">
        <v>38</v>
      </c>
      <c r="C75" s="8" t="s">
        <v>50</v>
      </c>
      <c r="D75" s="10">
        <v>334.0</v>
      </c>
      <c r="E75" s="9">
        <v>3.0</v>
      </c>
      <c r="F75" s="10">
        <v>170.0</v>
      </c>
      <c r="G75" s="9">
        <v>21.0</v>
      </c>
    </row>
    <row r="76">
      <c r="A76" s="8" t="s">
        <v>32</v>
      </c>
      <c r="B76" s="8" t="s">
        <v>28</v>
      </c>
      <c r="C76" s="8" t="s">
        <v>57</v>
      </c>
      <c r="D76" s="10">
        <v>689.0</v>
      </c>
      <c r="E76" s="9">
        <v>7.0</v>
      </c>
      <c r="F76" s="10">
        <v>64.0</v>
      </c>
      <c r="G76" s="9">
        <v>37.0</v>
      </c>
    </row>
    <row r="77">
      <c r="A77" s="8" t="s">
        <v>32</v>
      </c>
      <c r="B77" s="8" t="s">
        <v>33</v>
      </c>
      <c r="C77" s="8" t="s">
        <v>57</v>
      </c>
      <c r="D77" s="10">
        <v>877.0</v>
      </c>
      <c r="E77" s="9">
        <v>8.0</v>
      </c>
      <c r="F77" s="10">
        <v>179.0</v>
      </c>
      <c r="G77" s="9">
        <v>40.0</v>
      </c>
    </row>
    <row r="78">
      <c r="A78" s="8" t="s">
        <v>32</v>
      </c>
      <c r="B78" s="8" t="s">
        <v>38</v>
      </c>
      <c r="C78" s="8" t="s">
        <v>57</v>
      </c>
      <c r="D78" s="10">
        <v>946.0</v>
      </c>
      <c r="E78" s="9">
        <v>3.0</v>
      </c>
      <c r="F78" s="10">
        <v>166.0</v>
      </c>
      <c r="G78" s="9">
        <v>34.0</v>
      </c>
    </row>
    <row r="79">
      <c r="A79" s="8" t="s">
        <v>32</v>
      </c>
      <c r="B79" s="8" t="s">
        <v>28</v>
      </c>
      <c r="C79" s="8" t="s">
        <v>66</v>
      </c>
      <c r="D79" s="10">
        <v>331.0</v>
      </c>
      <c r="E79" s="9">
        <v>14.0</v>
      </c>
      <c r="F79" s="10">
        <v>103.0</v>
      </c>
      <c r="G79" s="9">
        <v>33.0</v>
      </c>
    </row>
    <row r="80">
      <c r="A80" s="8" t="s">
        <v>32</v>
      </c>
      <c r="B80" s="8" t="s">
        <v>33</v>
      </c>
      <c r="C80" s="8" t="s">
        <v>66</v>
      </c>
      <c r="D80" s="10">
        <v>300.0</v>
      </c>
      <c r="E80" s="9">
        <v>1.0</v>
      </c>
      <c r="F80" s="10">
        <v>140.0</v>
      </c>
      <c r="G80" s="9">
        <v>28.0</v>
      </c>
    </row>
    <row r="81">
      <c r="A81" s="8" t="s">
        <v>32</v>
      </c>
      <c r="B81" s="8" t="s">
        <v>38</v>
      </c>
      <c r="C81" s="8" t="s">
        <v>66</v>
      </c>
      <c r="D81" s="10">
        <v>949.0</v>
      </c>
      <c r="E81" s="9">
        <v>2.0</v>
      </c>
      <c r="F81" s="10">
        <v>206.0</v>
      </c>
      <c r="G81" s="9">
        <v>28.0</v>
      </c>
    </row>
    <row r="82">
      <c r="A82" s="8" t="s">
        <v>32</v>
      </c>
      <c r="B82" s="8" t="s">
        <v>29</v>
      </c>
      <c r="C82" s="8" t="s">
        <v>50</v>
      </c>
      <c r="D82" s="10">
        <v>279.0</v>
      </c>
      <c r="E82" s="9">
        <v>5.0</v>
      </c>
      <c r="F82" s="10">
        <v>246.0</v>
      </c>
      <c r="G82" s="9">
        <v>30.0</v>
      </c>
    </row>
    <row r="83">
      <c r="A83" s="8" t="s">
        <v>32</v>
      </c>
      <c r="B83" s="8" t="s">
        <v>42</v>
      </c>
      <c r="C83" s="8" t="s">
        <v>50</v>
      </c>
      <c r="D83" s="10">
        <v>390.0</v>
      </c>
      <c r="E83" s="9">
        <v>3.0</v>
      </c>
      <c r="F83" s="10">
        <v>213.0</v>
      </c>
      <c r="G83" s="9">
        <v>41.0</v>
      </c>
    </row>
    <row r="84">
      <c r="A84" s="8" t="s">
        <v>32</v>
      </c>
      <c r="B84" s="8" t="s">
        <v>29</v>
      </c>
      <c r="C84" s="8" t="s">
        <v>57</v>
      </c>
      <c r="D84" s="10">
        <v>724.0</v>
      </c>
      <c r="E84" s="9">
        <v>12.0</v>
      </c>
      <c r="F84" s="10">
        <v>214.0</v>
      </c>
      <c r="G84" s="9">
        <v>22.0</v>
      </c>
    </row>
    <row r="85">
      <c r="A85" s="8" t="s">
        <v>32</v>
      </c>
      <c r="B85" s="8" t="s">
        <v>42</v>
      </c>
      <c r="C85" s="8" t="s">
        <v>57</v>
      </c>
      <c r="D85" s="10">
        <v>255.0</v>
      </c>
      <c r="E85" s="9">
        <v>4.0</v>
      </c>
      <c r="F85" s="10">
        <v>102.0</v>
      </c>
      <c r="G85" s="9">
        <v>22.0</v>
      </c>
    </row>
    <row r="86">
      <c r="A86" s="8" t="s">
        <v>32</v>
      </c>
      <c r="B86" s="8" t="s">
        <v>29</v>
      </c>
      <c r="C86" s="8" t="s">
        <v>66</v>
      </c>
      <c r="D86" s="10">
        <v>443.0</v>
      </c>
      <c r="E86" s="9">
        <v>3.0</v>
      </c>
      <c r="F86" s="10">
        <v>58.0</v>
      </c>
      <c r="G86" s="9">
        <v>23.0</v>
      </c>
    </row>
    <row r="87">
      <c r="A87" s="8" t="s">
        <v>32</v>
      </c>
      <c r="B87" s="8" t="s">
        <v>42</v>
      </c>
      <c r="C87" s="8" t="s">
        <v>66</v>
      </c>
      <c r="D87" s="10">
        <v>680.0</v>
      </c>
      <c r="E87" s="9">
        <v>9.0</v>
      </c>
      <c r="F87" s="10">
        <v>84.0</v>
      </c>
      <c r="G87" s="9">
        <v>29.0</v>
      </c>
    </row>
  </sheetData>
  <mergeCells count="2">
    <mergeCell ref="D2:E2"/>
    <mergeCell ref="F2: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23.13"/>
  </cols>
  <sheetData>
    <row r="1">
      <c r="B1" s="3" t="s">
        <v>2</v>
      </c>
      <c r="C1" s="1">
        <v>84000.0</v>
      </c>
      <c r="D1" s="1" t="s">
        <v>7</v>
      </c>
    </row>
    <row r="2">
      <c r="B2" s="3" t="s">
        <v>10</v>
      </c>
      <c r="C2" s="1">
        <v>42.0</v>
      </c>
      <c r="D2" s="1" t="s">
        <v>7</v>
      </c>
    </row>
    <row r="3">
      <c r="B3" s="1" t="s">
        <v>15</v>
      </c>
      <c r="C3" s="4">
        <f>C1/C2</f>
        <v>2000</v>
      </c>
      <c r="D3" s="1" t="s">
        <v>25</v>
      </c>
    </row>
    <row r="5">
      <c r="A5" s="2" t="s">
        <v>4</v>
      </c>
      <c r="B5" s="2" t="s">
        <v>27</v>
      </c>
    </row>
    <row r="6">
      <c r="A6" s="8" t="s">
        <v>26</v>
      </c>
      <c r="B6" s="9">
        <v>9.0</v>
      </c>
    </row>
    <row r="7">
      <c r="A7" s="8" t="s">
        <v>30</v>
      </c>
      <c r="B7" s="9">
        <v>1.0</v>
      </c>
    </row>
    <row r="8">
      <c r="A8" s="8" t="s">
        <v>31</v>
      </c>
      <c r="B8" s="9">
        <v>4.0</v>
      </c>
    </row>
    <row r="9">
      <c r="A9" s="8" t="s">
        <v>32</v>
      </c>
      <c r="B9" s="9">
        <v>9.0</v>
      </c>
    </row>
    <row r="10">
      <c r="A10" s="8" t="s">
        <v>35</v>
      </c>
      <c r="B10" s="9">
        <v>2.0</v>
      </c>
    </row>
    <row r="11">
      <c r="A11" s="8" t="s">
        <v>36</v>
      </c>
      <c r="B11" s="9">
        <v>8.0</v>
      </c>
    </row>
    <row r="12">
      <c r="A12" s="8" t="s">
        <v>37</v>
      </c>
      <c r="B12" s="9">
        <v>5.0</v>
      </c>
    </row>
    <row r="13">
      <c r="A13" s="8" t="s">
        <v>39</v>
      </c>
      <c r="B13" s="9">
        <v>5.0</v>
      </c>
    </row>
    <row r="14">
      <c r="A14" s="8" t="s">
        <v>40</v>
      </c>
      <c r="B14" s="9">
        <v>12.0</v>
      </c>
    </row>
    <row r="15">
      <c r="A15" s="8" t="s">
        <v>41</v>
      </c>
      <c r="B15" s="9">
        <v>5.0</v>
      </c>
    </row>
    <row r="16">
      <c r="A16" s="8" t="s">
        <v>43</v>
      </c>
      <c r="B16" s="9">
        <v>11.0</v>
      </c>
    </row>
    <row r="17">
      <c r="A17" s="8" t="s">
        <v>44</v>
      </c>
      <c r="B17" s="9">
        <v>3.0</v>
      </c>
    </row>
    <row r="18">
      <c r="A18" s="8" t="s">
        <v>45</v>
      </c>
      <c r="B18" s="9">
        <v>5.0</v>
      </c>
    </row>
    <row r="19">
      <c r="A19" s="8" t="s">
        <v>46</v>
      </c>
      <c r="B19" s="9">
        <v>2.0</v>
      </c>
    </row>
    <row r="20">
      <c r="A20" s="8" t="s">
        <v>47</v>
      </c>
      <c r="B20" s="9">
        <v>8.0</v>
      </c>
    </row>
    <row r="21">
      <c r="A21" s="8" t="s">
        <v>48</v>
      </c>
      <c r="B21" s="9">
        <v>1.0</v>
      </c>
    </row>
    <row r="22">
      <c r="A22" s="8" t="s">
        <v>49</v>
      </c>
      <c r="B22" s="9">
        <v>3.0</v>
      </c>
    </row>
    <row r="23">
      <c r="A23" s="8" t="s">
        <v>51</v>
      </c>
      <c r="B23" s="9">
        <v>9.0</v>
      </c>
    </row>
    <row r="24">
      <c r="A24" s="8" t="s">
        <v>52</v>
      </c>
      <c r="B24" s="9">
        <v>11.0</v>
      </c>
    </row>
    <row r="25">
      <c r="A25" s="8" t="s">
        <v>53</v>
      </c>
      <c r="B25" s="9">
        <v>6.0</v>
      </c>
    </row>
    <row r="26">
      <c r="A26" s="8" t="s">
        <v>54</v>
      </c>
      <c r="B26" s="9">
        <v>1.0</v>
      </c>
    </row>
    <row r="27">
      <c r="A27" s="8" t="s">
        <v>55</v>
      </c>
      <c r="B27" s="9">
        <v>5.0</v>
      </c>
    </row>
    <row r="28">
      <c r="A28" s="8" t="s">
        <v>56</v>
      </c>
      <c r="B28" s="9">
        <v>5.0</v>
      </c>
    </row>
    <row r="29">
      <c r="A29" s="8" t="s">
        <v>58</v>
      </c>
      <c r="B29" s="9">
        <v>7.0</v>
      </c>
    </row>
    <row r="30">
      <c r="A30" s="8" t="s">
        <v>59</v>
      </c>
      <c r="B30" s="9">
        <v>12.0</v>
      </c>
    </row>
    <row r="31">
      <c r="A31" s="8" t="s">
        <v>60</v>
      </c>
      <c r="B31" s="9">
        <v>5.0</v>
      </c>
    </row>
    <row r="32">
      <c r="A32" s="8" t="s">
        <v>61</v>
      </c>
      <c r="B32" s="9">
        <v>4.0</v>
      </c>
    </row>
    <row r="33">
      <c r="A33" s="8" t="s">
        <v>62</v>
      </c>
      <c r="B33" s="9">
        <v>9.0</v>
      </c>
    </row>
    <row r="34">
      <c r="A34" s="8" t="s">
        <v>63</v>
      </c>
      <c r="B34" s="9">
        <v>7.0</v>
      </c>
    </row>
    <row r="35">
      <c r="A35" s="8" t="s">
        <v>64</v>
      </c>
      <c r="B35" s="9">
        <v>11.0</v>
      </c>
    </row>
    <row r="36">
      <c r="A36" s="8" t="s">
        <v>65</v>
      </c>
      <c r="B36" s="9">
        <v>12.0</v>
      </c>
    </row>
    <row r="37">
      <c r="A37" s="8" t="s">
        <v>67</v>
      </c>
      <c r="B37" s="9">
        <v>2.0</v>
      </c>
    </row>
    <row r="38">
      <c r="A38" s="8" t="s">
        <v>68</v>
      </c>
      <c r="B38" s="9">
        <v>2.0</v>
      </c>
    </row>
    <row r="39">
      <c r="A39" s="8" t="s">
        <v>69</v>
      </c>
      <c r="B39" s="9">
        <v>8.0</v>
      </c>
    </row>
    <row r="40">
      <c r="A40" s="8" t="s">
        <v>70</v>
      </c>
      <c r="B40" s="9">
        <v>9.0</v>
      </c>
    </row>
    <row r="41">
      <c r="A41" s="8" t="s">
        <v>71</v>
      </c>
      <c r="B41" s="9">
        <v>12.0</v>
      </c>
    </row>
    <row r="42">
      <c r="A42" s="8" t="s">
        <v>72</v>
      </c>
      <c r="B42" s="9">
        <v>9.0</v>
      </c>
    </row>
    <row r="43">
      <c r="A43" s="8" t="s">
        <v>73</v>
      </c>
      <c r="B43" s="9">
        <v>1.0</v>
      </c>
    </row>
    <row r="44">
      <c r="A44" s="8" t="s">
        <v>74</v>
      </c>
      <c r="B44" s="9">
        <v>6.0</v>
      </c>
    </row>
    <row r="45">
      <c r="A45" s="8" t="s">
        <v>75</v>
      </c>
      <c r="B45" s="9">
        <v>5.0</v>
      </c>
    </row>
    <row r="46">
      <c r="A46" s="8" t="s">
        <v>76</v>
      </c>
      <c r="B46" s="9">
        <v>1.0</v>
      </c>
    </row>
    <row r="47">
      <c r="A47" s="8" t="s">
        <v>77</v>
      </c>
      <c r="B47" s="9">
        <v>1.0</v>
      </c>
    </row>
    <row r="48">
      <c r="A48" s="8" t="s">
        <v>78</v>
      </c>
      <c r="B48" s="9">
        <v>4.0</v>
      </c>
    </row>
    <row r="49">
      <c r="A49" s="8" t="s">
        <v>79</v>
      </c>
      <c r="B49" s="9">
        <v>3.0</v>
      </c>
    </row>
    <row r="50">
      <c r="A50" s="8" t="s">
        <v>80</v>
      </c>
      <c r="B50" s="9">
        <v>7.0</v>
      </c>
    </row>
    <row r="51">
      <c r="A51" s="8" t="s">
        <v>81</v>
      </c>
      <c r="B51" s="9">
        <v>5.0</v>
      </c>
    </row>
    <row r="52">
      <c r="A52" s="8" t="s">
        <v>82</v>
      </c>
      <c r="B52" s="9">
        <v>9.0</v>
      </c>
    </row>
    <row r="53">
      <c r="A53" s="8" t="s">
        <v>83</v>
      </c>
      <c r="B53" s="9">
        <v>8.0</v>
      </c>
    </row>
    <row r="54">
      <c r="A54" s="8" t="s">
        <v>84</v>
      </c>
      <c r="B54" s="9">
        <v>9.0</v>
      </c>
    </row>
    <row r="55">
      <c r="A55" s="8" t="s">
        <v>85</v>
      </c>
      <c r="B55" s="9">
        <v>9.0</v>
      </c>
    </row>
    <row r="56">
      <c r="A56" s="8" t="s">
        <v>86</v>
      </c>
      <c r="B56" s="9">
        <v>8.0</v>
      </c>
    </row>
    <row r="57">
      <c r="A57" s="8" t="s">
        <v>87</v>
      </c>
      <c r="B57" s="9">
        <v>12.0</v>
      </c>
    </row>
    <row r="58">
      <c r="A58" s="8" t="s">
        <v>88</v>
      </c>
      <c r="B58" s="9">
        <v>8.0</v>
      </c>
    </row>
    <row r="59">
      <c r="A59" s="8" t="s">
        <v>89</v>
      </c>
      <c r="B59" s="9">
        <v>10.0</v>
      </c>
    </row>
    <row r="60">
      <c r="A60" s="8" t="s">
        <v>90</v>
      </c>
      <c r="B60" s="9">
        <v>5.0</v>
      </c>
    </row>
    <row r="61">
      <c r="A61" s="8" t="s">
        <v>91</v>
      </c>
      <c r="B61" s="9">
        <v>6.0</v>
      </c>
    </row>
    <row r="62">
      <c r="A62" s="8" t="s">
        <v>92</v>
      </c>
      <c r="B62" s="9">
        <v>6.0</v>
      </c>
    </row>
    <row r="63">
      <c r="A63" s="8" t="s">
        <v>93</v>
      </c>
      <c r="B63" s="9">
        <v>1.0</v>
      </c>
    </row>
    <row r="64">
      <c r="A64" s="8" t="s">
        <v>94</v>
      </c>
      <c r="B64" s="9">
        <v>2.0</v>
      </c>
    </row>
    <row r="65">
      <c r="A65" s="8" t="s">
        <v>95</v>
      </c>
      <c r="B65" s="9">
        <v>2.0</v>
      </c>
    </row>
    <row r="66">
      <c r="A66" s="8" t="s">
        <v>96</v>
      </c>
      <c r="B66" s="9">
        <v>7.0</v>
      </c>
    </row>
    <row r="67">
      <c r="A67" s="8" t="s">
        <v>97</v>
      </c>
      <c r="B67" s="9">
        <v>1.0</v>
      </c>
    </row>
    <row r="68">
      <c r="A68" s="8" t="s">
        <v>98</v>
      </c>
      <c r="B68" s="9">
        <v>7.0</v>
      </c>
    </row>
    <row r="69">
      <c r="A69" s="8" t="s">
        <v>99</v>
      </c>
      <c r="B69" s="9">
        <v>8.0</v>
      </c>
    </row>
    <row r="70">
      <c r="A70" s="8" t="s">
        <v>100</v>
      </c>
      <c r="B70" s="9">
        <v>11.0</v>
      </c>
    </row>
    <row r="71">
      <c r="A71" s="8" t="s">
        <v>101</v>
      </c>
      <c r="B71" s="9">
        <v>11.0</v>
      </c>
    </row>
    <row r="72">
      <c r="A72" s="8" t="s">
        <v>102</v>
      </c>
      <c r="B72" s="9">
        <v>12.0</v>
      </c>
    </row>
    <row r="73">
      <c r="A73" s="8" t="s">
        <v>103</v>
      </c>
      <c r="B73" s="9">
        <v>1.0</v>
      </c>
    </row>
    <row r="74">
      <c r="A74" s="8" t="s">
        <v>104</v>
      </c>
      <c r="B74" s="9">
        <v>4.0</v>
      </c>
    </row>
    <row r="75">
      <c r="A75" s="8" t="s">
        <v>105</v>
      </c>
      <c r="B75" s="9">
        <v>2.0</v>
      </c>
    </row>
    <row r="76">
      <c r="A76" s="8" t="s">
        <v>106</v>
      </c>
      <c r="B76" s="9">
        <v>3.0</v>
      </c>
    </row>
    <row r="77">
      <c r="A77" s="8" t="s">
        <v>107</v>
      </c>
      <c r="B77" s="9">
        <v>1.0</v>
      </c>
    </row>
    <row r="78">
      <c r="A78" s="8" t="s">
        <v>108</v>
      </c>
      <c r="B78" s="9">
        <v>4.0</v>
      </c>
    </row>
    <row r="79">
      <c r="A79" s="8" t="s">
        <v>109</v>
      </c>
      <c r="B79" s="9">
        <v>4.0</v>
      </c>
    </row>
    <row r="80">
      <c r="A80" s="8" t="s">
        <v>110</v>
      </c>
      <c r="B80" s="9">
        <v>2.0</v>
      </c>
    </row>
    <row r="81">
      <c r="A81" s="8" t="s">
        <v>111</v>
      </c>
      <c r="B81" s="9">
        <v>10.0</v>
      </c>
    </row>
    <row r="82">
      <c r="A82" s="8" t="s">
        <v>112</v>
      </c>
      <c r="B82" s="9">
        <v>6.0</v>
      </c>
    </row>
    <row r="83">
      <c r="A83" s="8" t="s">
        <v>113</v>
      </c>
      <c r="B83" s="9">
        <v>2.0</v>
      </c>
    </row>
    <row r="84">
      <c r="A84" s="8" t="s">
        <v>114</v>
      </c>
      <c r="B84" s="9">
        <v>4.0</v>
      </c>
    </row>
    <row r="85">
      <c r="A85" s="8" t="s">
        <v>115</v>
      </c>
      <c r="B85" s="9">
        <v>2.0</v>
      </c>
    </row>
    <row r="86">
      <c r="A86" s="8" t="s">
        <v>116</v>
      </c>
      <c r="B86" s="9">
        <v>1.0</v>
      </c>
    </row>
    <row r="87">
      <c r="A87" s="8" t="s">
        <v>117</v>
      </c>
      <c r="B87" s="9">
        <v>1.0</v>
      </c>
    </row>
    <row r="88">
      <c r="A88" s="8" t="s">
        <v>118</v>
      </c>
      <c r="B88" s="9">
        <v>9.0</v>
      </c>
    </row>
    <row r="89">
      <c r="A89" s="8" t="s">
        <v>119</v>
      </c>
      <c r="B89" s="9">
        <v>10.0</v>
      </c>
    </row>
    <row r="90">
      <c r="A90" s="8" t="s">
        <v>120</v>
      </c>
      <c r="B90" s="9">
        <v>8.0</v>
      </c>
    </row>
    <row r="91">
      <c r="A91" s="8" t="s">
        <v>121</v>
      </c>
      <c r="B91" s="9">
        <v>4.0</v>
      </c>
    </row>
    <row r="92">
      <c r="A92" s="8" t="s">
        <v>122</v>
      </c>
      <c r="B92" s="9">
        <v>2.0</v>
      </c>
    </row>
    <row r="93">
      <c r="A93" s="8" t="s">
        <v>123</v>
      </c>
      <c r="B93" s="9">
        <v>8.0</v>
      </c>
    </row>
    <row r="94">
      <c r="A94" s="8" t="s">
        <v>124</v>
      </c>
      <c r="B94" s="9">
        <v>7.0</v>
      </c>
    </row>
    <row r="95">
      <c r="A95" s="8" t="s">
        <v>125</v>
      </c>
      <c r="B95" s="9">
        <v>11.0</v>
      </c>
    </row>
    <row r="96">
      <c r="A96" s="8" t="s">
        <v>126</v>
      </c>
      <c r="B96" s="9">
        <v>4.0</v>
      </c>
    </row>
    <row r="97">
      <c r="A97" s="8" t="s">
        <v>127</v>
      </c>
      <c r="B97" s="9">
        <v>8.0</v>
      </c>
    </row>
    <row r="98">
      <c r="A98" s="8" t="s">
        <v>128</v>
      </c>
      <c r="B98" s="9">
        <v>3.0</v>
      </c>
    </row>
    <row r="99">
      <c r="A99" s="8" t="s">
        <v>129</v>
      </c>
      <c r="B99" s="9">
        <v>4.0</v>
      </c>
    </row>
    <row r="100">
      <c r="A100" s="8" t="s">
        <v>130</v>
      </c>
      <c r="B100" s="9">
        <v>5.0</v>
      </c>
    </row>
    <row r="101">
      <c r="A101" s="8" t="s">
        <v>131</v>
      </c>
      <c r="B101" s="9">
        <v>2.0</v>
      </c>
    </row>
    <row r="102">
      <c r="A102" s="8" t="s">
        <v>132</v>
      </c>
      <c r="B102" s="9">
        <v>12.0</v>
      </c>
    </row>
    <row r="103">
      <c r="A103" s="8" t="s">
        <v>133</v>
      </c>
      <c r="B103" s="9">
        <v>9.0</v>
      </c>
    </row>
    <row r="104">
      <c r="A104" s="8" t="s">
        <v>134</v>
      </c>
      <c r="B104" s="9">
        <v>8.0</v>
      </c>
    </row>
    <row r="105">
      <c r="A105" s="8" t="s">
        <v>135</v>
      </c>
      <c r="B105" s="9">
        <v>10.0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63"/>
  </cols>
  <sheetData>
    <row r="1" ht="30.0" customHeight="1">
      <c r="A1" s="45" t="s">
        <v>136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ht="83.25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ht="30.0" customHeight="1">
      <c r="A3" s="45" t="s">
        <v>137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</row>
    <row r="4" ht="223.5" customHeight="1">
      <c r="A4" s="51" t="s">
        <v>138</v>
      </c>
    </row>
    <row r="5" ht="30.0" customHeight="1">
      <c r="A5" s="52" t="s">
        <v>139</v>
      </c>
    </row>
    <row r="6" ht="85.5" customHeight="1">
      <c r="A6" s="53"/>
    </row>
    <row r="7">
      <c r="A7" s="53"/>
    </row>
    <row r="8">
      <c r="A8" s="53"/>
    </row>
    <row r="9">
      <c r="A9" s="53"/>
    </row>
    <row r="10">
      <c r="A10" s="53"/>
    </row>
    <row r="11">
      <c r="A11" s="53"/>
    </row>
    <row r="12">
      <c r="A12" s="53"/>
    </row>
    <row r="13">
      <c r="A13" s="53"/>
    </row>
    <row r="14">
      <c r="A14" s="53"/>
    </row>
    <row r="15">
      <c r="A15" s="53"/>
    </row>
    <row r="16">
      <c r="A16" s="53"/>
    </row>
    <row r="17">
      <c r="A17" s="53"/>
    </row>
    <row r="18">
      <c r="A18" s="53"/>
    </row>
    <row r="19">
      <c r="A19" s="53"/>
    </row>
    <row r="20">
      <c r="A20" s="53"/>
    </row>
    <row r="21">
      <c r="A21" s="53"/>
    </row>
    <row r="22">
      <c r="A22" s="53"/>
    </row>
    <row r="23">
      <c r="A23" s="53"/>
    </row>
    <row r="24">
      <c r="A24" s="53"/>
    </row>
    <row r="25">
      <c r="A25" s="53"/>
    </row>
    <row r="26">
      <c r="A26" s="53"/>
    </row>
    <row r="27">
      <c r="A27" s="53"/>
    </row>
    <row r="28">
      <c r="A28" s="53"/>
    </row>
    <row r="29">
      <c r="A29" s="53"/>
    </row>
    <row r="30">
      <c r="A30" s="53"/>
    </row>
    <row r="31">
      <c r="A31" s="53"/>
    </row>
    <row r="32">
      <c r="A32" s="53"/>
    </row>
    <row r="33">
      <c r="A33" s="53"/>
    </row>
    <row r="34">
      <c r="A34" s="53"/>
    </row>
    <row r="35">
      <c r="A35" s="53"/>
    </row>
    <row r="36">
      <c r="A36" s="53"/>
    </row>
    <row r="37">
      <c r="A37" s="53"/>
    </row>
    <row r="38">
      <c r="A38" s="53"/>
    </row>
    <row r="39">
      <c r="A39" s="53"/>
    </row>
    <row r="40">
      <c r="A40" s="53"/>
    </row>
    <row r="41">
      <c r="A41" s="53"/>
    </row>
    <row r="42">
      <c r="A42" s="53"/>
    </row>
    <row r="43">
      <c r="A43" s="53"/>
    </row>
    <row r="44">
      <c r="A44" s="53"/>
    </row>
    <row r="45">
      <c r="A45" s="53"/>
    </row>
    <row r="46">
      <c r="A46" s="53"/>
    </row>
    <row r="47">
      <c r="A47" s="53"/>
    </row>
    <row r="48">
      <c r="A48" s="53"/>
    </row>
    <row r="49">
      <c r="A49" s="53"/>
    </row>
    <row r="50">
      <c r="A50" s="53"/>
    </row>
    <row r="51">
      <c r="A51" s="53"/>
    </row>
    <row r="52">
      <c r="A52" s="53"/>
    </row>
    <row r="53">
      <c r="A53" s="53"/>
    </row>
    <row r="54">
      <c r="A54" s="53"/>
    </row>
    <row r="55">
      <c r="A55" s="53"/>
    </row>
    <row r="56">
      <c r="A56" s="53"/>
    </row>
    <row r="57">
      <c r="A57" s="53"/>
    </row>
    <row r="58">
      <c r="A58" s="53"/>
    </row>
    <row r="59">
      <c r="A59" s="53"/>
    </row>
    <row r="60">
      <c r="A60" s="53"/>
    </row>
    <row r="61">
      <c r="A61" s="53"/>
    </row>
    <row r="62">
      <c r="A62" s="53"/>
    </row>
    <row r="63">
      <c r="A63" s="53"/>
    </row>
    <row r="64">
      <c r="A64" s="53"/>
    </row>
    <row r="65">
      <c r="A65" s="53"/>
    </row>
    <row r="66">
      <c r="A66" s="53"/>
    </row>
    <row r="67">
      <c r="A67" s="53"/>
    </row>
    <row r="68">
      <c r="A68" s="53"/>
    </row>
    <row r="69">
      <c r="A69" s="53"/>
    </row>
    <row r="70">
      <c r="A70" s="53"/>
    </row>
    <row r="71">
      <c r="A71" s="53"/>
    </row>
    <row r="72">
      <c r="A72" s="53"/>
    </row>
    <row r="73">
      <c r="A73" s="53"/>
    </row>
    <row r="74">
      <c r="A74" s="53"/>
    </row>
    <row r="75">
      <c r="A75" s="53"/>
    </row>
    <row r="76">
      <c r="A76" s="53"/>
    </row>
    <row r="77">
      <c r="A77" s="53"/>
    </row>
    <row r="78">
      <c r="A78" s="53"/>
    </row>
    <row r="79">
      <c r="A79" s="53"/>
    </row>
    <row r="80">
      <c r="A80" s="53"/>
    </row>
    <row r="81">
      <c r="A81" s="53"/>
    </row>
    <row r="82">
      <c r="A82" s="53"/>
    </row>
    <row r="83">
      <c r="A83" s="53"/>
    </row>
    <row r="84">
      <c r="A84" s="53"/>
    </row>
    <row r="85">
      <c r="A85" s="53"/>
    </row>
    <row r="86">
      <c r="A86" s="53"/>
    </row>
    <row r="87">
      <c r="A87" s="53"/>
    </row>
    <row r="88">
      <c r="A88" s="53"/>
    </row>
    <row r="89">
      <c r="A89" s="53"/>
    </row>
    <row r="90">
      <c r="A90" s="53"/>
    </row>
    <row r="91">
      <c r="A91" s="53"/>
    </row>
    <row r="92">
      <c r="A92" s="53"/>
    </row>
    <row r="93">
      <c r="A93" s="53"/>
    </row>
    <row r="94">
      <c r="A94" s="53"/>
    </row>
    <row r="95">
      <c r="A95" s="53"/>
    </row>
    <row r="96">
      <c r="A96" s="53"/>
    </row>
    <row r="97">
      <c r="A97" s="53"/>
    </row>
    <row r="98">
      <c r="A98" s="53"/>
    </row>
    <row r="99">
      <c r="A99" s="53"/>
    </row>
    <row r="100">
      <c r="A100" s="53"/>
    </row>
    <row r="101">
      <c r="A101" s="53"/>
    </row>
    <row r="102">
      <c r="A102" s="53"/>
    </row>
    <row r="103">
      <c r="A103" s="53"/>
    </row>
    <row r="104">
      <c r="A104" s="53"/>
    </row>
    <row r="105">
      <c r="A105" s="53"/>
    </row>
    <row r="106">
      <c r="A106" s="53"/>
    </row>
    <row r="107">
      <c r="A107" s="53"/>
    </row>
    <row r="108">
      <c r="A108" s="53"/>
    </row>
    <row r="109">
      <c r="A109" s="53"/>
    </row>
    <row r="110">
      <c r="A110" s="53"/>
    </row>
    <row r="111">
      <c r="A111" s="53"/>
    </row>
    <row r="112">
      <c r="A112" s="53"/>
    </row>
    <row r="113">
      <c r="A113" s="53"/>
    </row>
    <row r="114">
      <c r="A114" s="53"/>
    </row>
    <row r="115">
      <c r="A115" s="53"/>
    </row>
    <row r="116">
      <c r="A116" s="53"/>
    </row>
    <row r="117">
      <c r="A117" s="53"/>
    </row>
    <row r="118">
      <c r="A118" s="53"/>
    </row>
    <row r="119">
      <c r="A119" s="53"/>
    </row>
    <row r="120">
      <c r="A120" s="53"/>
    </row>
    <row r="121">
      <c r="A121" s="53"/>
    </row>
    <row r="122">
      <c r="A122" s="53"/>
    </row>
    <row r="123">
      <c r="A123" s="53"/>
    </row>
    <row r="124">
      <c r="A124" s="53"/>
    </row>
    <row r="125">
      <c r="A125" s="53"/>
    </row>
    <row r="126">
      <c r="A126" s="53"/>
    </row>
    <row r="127">
      <c r="A127" s="53"/>
    </row>
    <row r="128">
      <c r="A128" s="53"/>
    </row>
    <row r="129">
      <c r="A129" s="53"/>
    </row>
    <row r="130">
      <c r="A130" s="53"/>
    </row>
    <row r="131">
      <c r="A131" s="53"/>
    </row>
    <row r="132">
      <c r="A132" s="53"/>
    </row>
    <row r="133">
      <c r="A133" s="53"/>
    </row>
    <row r="134">
      <c r="A134" s="53"/>
    </row>
    <row r="135">
      <c r="A135" s="53"/>
    </row>
    <row r="136">
      <c r="A136" s="53"/>
    </row>
    <row r="137">
      <c r="A137" s="53"/>
    </row>
    <row r="138">
      <c r="A138" s="53"/>
    </row>
    <row r="139">
      <c r="A139" s="53"/>
    </row>
    <row r="140">
      <c r="A140" s="53"/>
    </row>
    <row r="141">
      <c r="A141" s="53"/>
    </row>
    <row r="142">
      <c r="A142" s="53"/>
    </row>
    <row r="143">
      <c r="A143" s="53"/>
    </row>
    <row r="144">
      <c r="A144" s="53"/>
    </row>
    <row r="145">
      <c r="A145" s="53"/>
    </row>
    <row r="146">
      <c r="A146" s="53"/>
    </row>
    <row r="147">
      <c r="A147" s="53"/>
    </row>
    <row r="148">
      <c r="A148" s="53"/>
    </row>
    <row r="149">
      <c r="A149" s="53"/>
    </row>
    <row r="150">
      <c r="A150" s="53"/>
    </row>
    <row r="151">
      <c r="A151" s="53"/>
    </row>
    <row r="152">
      <c r="A152" s="53"/>
    </row>
    <row r="153">
      <c r="A153" s="53"/>
    </row>
    <row r="154">
      <c r="A154" s="53"/>
    </row>
    <row r="155">
      <c r="A155" s="53"/>
    </row>
    <row r="156">
      <c r="A156" s="53"/>
    </row>
    <row r="157">
      <c r="A157" s="53"/>
    </row>
    <row r="158">
      <c r="A158" s="53"/>
    </row>
    <row r="159">
      <c r="A159" s="53"/>
    </row>
    <row r="160">
      <c r="A160" s="53"/>
    </row>
    <row r="161">
      <c r="A161" s="53"/>
    </row>
    <row r="162">
      <c r="A162" s="53"/>
    </row>
    <row r="163">
      <c r="A163" s="53"/>
    </row>
    <row r="164">
      <c r="A164" s="53"/>
    </row>
    <row r="165">
      <c r="A165" s="53"/>
    </row>
    <row r="166">
      <c r="A166" s="53"/>
    </row>
    <row r="167">
      <c r="A167" s="53"/>
    </row>
    <row r="168">
      <c r="A168" s="53"/>
    </row>
    <row r="169">
      <c r="A169" s="53"/>
    </row>
    <row r="170">
      <c r="A170" s="53"/>
    </row>
    <row r="171">
      <c r="A171" s="53"/>
    </row>
    <row r="172">
      <c r="A172" s="53"/>
    </row>
    <row r="173">
      <c r="A173" s="53"/>
    </row>
    <row r="174">
      <c r="A174" s="53"/>
    </row>
    <row r="175">
      <c r="A175" s="53"/>
    </row>
    <row r="176">
      <c r="A176" s="53"/>
    </row>
    <row r="177">
      <c r="A177" s="53"/>
    </row>
    <row r="178">
      <c r="A178" s="53"/>
    </row>
    <row r="179">
      <c r="A179" s="53"/>
    </row>
    <row r="180">
      <c r="A180" s="53"/>
    </row>
    <row r="181">
      <c r="A181" s="53"/>
    </row>
    <row r="182">
      <c r="A182" s="53"/>
    </row>
    <row r="183">
      <c r="A183" s="53"/>
    </row>
    <row r="184">
      <c r="A184" s="53"/>
    </row>
    <row r="185">
      <c r="A185" s="53"/>
    </row>
    <row r="186">
      <c r="A186" s="53"/>
    </row>
    <row r="187">
      <c r="A187" s="53"/>
    </row>
    <row r="188">
      <c r="A188" s="53"/>
    </row>
    <row r="189">
      <c r="A189" s="53"/>
    </row>
    <row r="190">
      <c r="A190" s="53"/>
    </row>
    <row r="191">
      <c r="A191" s="53"/>
    </row>
    <row r="192">
      <c r="A192" s="53"/>
    </row>
    <row r="193">
      <c r="A193" s="53"/>
    </row>
    <row r="194">
      <c r="A194" s="53"/>
    </row>
    <row r="195">
      <c r="A195" s="53"/>
    </row>
    <row r="196">
      <c r="A196" s="53"/>
    </row>
    <row r="197">
      <c r="A197" s="53"/>
    </row>
    <row r="198">
      <c r="A198" s="53"/>
    </row>
    <row r="199">
      <c r="A199" s="53"/>
    </row>
    <row r="200">
      <c r="A200" s="53"/>
    </row>
    <row r="201">
      <c r="A201" s="53"/>
    </row>
    <row r="202">
      <c r="A202" s="53"/>
    </row>
    <row r="203">
      <c r="A203" s="53"/>
    </row>
    <row r="204">
      <c r="A204" s="53"/>
    </row>
    <row r="205">
      <c r="A205" s="53"/>
    </row>
    <row r="206">
      <c r="A206" s="53"/>
    </row>
    <row r="207">
      <c r="A207" s="53"/>
    </row>
    <row r="208">
      <c r="A208" s="53"/>
    </row>
    <row r="209">
      <c r="A209" s="53"/>
    </row>
    <row r="210">
      <c r="A210" s="53"/>
    </row>
    <row r="211">
      <c r="A211" s="53"/>
    </row>
    <row r="212">
      <c r="A212" s="53"/>
    </row>
    <row r="213">
      <c r="A213" s="53"/>
    </row>
    <row r="214">
      <c r="A214" s="53"/>
    </row>
    <row r="215">
      <c r="A215" s="53"/>
    </row>
    <row r="216">
      <c r="A216" s="53"/>
    </row>
    <row r="217">
      <c r="A217" s="53"/>
    </row>
    <row r="218">
      <c r="A218" s="53"/>
    </row>
    <row r="219">
      <c r="A219" s="53"/>
    </row>
    <row r="220">
      <c r="A220" s="53"/>
    </row>
    <row r="221">
      <c r="A221" s="53"/>
    </row>
    <row r="222">
      <c r="A222" s="53"/>
    </row>
    <row r="223">
      <c r="A223" s="53"/>
    </row>
    <row r="224">
      <c r="A224" s="53"/>
    </row>
    <row r="225">
      <c r="A225" s="53"/>
    </row>
    <row r="226">
      <c r="A226" s="53"/>
    </row>
    <row r="227">
      <c r="A227" s="53"/>
    </row>
    <row r="228">
      <c r="A228" s="53"/>
    </row>
    <row r="229">
      <c r="A229" s="53"/>
    </row>
    <row r="230">
      <c r="A230" s="53"/>
    </row>
    <row r="231">
      <c r="A231" s="53"/>
    </row>
    <row r="232">
      <c r="A232" s="53"/>
    </row>
    <row r="233">
      <c r="A233" s="53"/>
    </row>
    <row r="234">
      <c r="A234" s="53"/>
    </row>
    <row r="235">
      <c r="A235" s="53"/>
    </row>
    <row r="236">
      <c r="A236" s="53"/>
    </row>
    <row r="237">
      <c r="A237" s="53"/>
    </row>
    <row r="238">
      <c r="A238" s="53"/>
    </row>
    <row r="239">
      <c r="A239" s="53"/>
    </row>
    <row r="240">
      <c r="A240" s="53"/>
    </row>
    <row r="241">
      <c r="A241" s="53"/>
    </row>
    <row r="242">
      <c r="A242" s="53"/>
    </row>
    <row r="243">
      <c r="A243" s="53"/>
    </row>
    <row r="244">
      <c r="A244" s="53"/>
    </row>
    <row r="245">
      <c r="A245" s="53"/>
    </row>
    <row r="246">
      <c r="A246" s="53"/>
    </row>
    <row r="247">
      <c r="A247" s="53"/>
    </row>
    <row r="248">
      <c r="A248" s="53"/>
    </row>
    <row r="249">
      <c r="A249" s="53"/>
    </row>
    <row r="250">
      <c r="A250" s="53"/>
    </row>
    <row r="251">
      <c r="A251" s="53"/>
    </row>
    <row r="252">
      <c r="A252" s="53"/>
    </row>
    <row r="253">
      <c r="A253" s="53"/>
    </row>
    <row r="254">
      <c r="A254" s="53"/>
    </row>
    <row r="255">
      <c r="A255" s="53"/>
    </row>
    <row r="256">
      <c r="A256" s="53"/>
    </row>
    <row r="257">
      <c r="A257" s="53"/>
    </row>
    <row r="258">
      <c r="A258" s="53"/>
    </row>
    <row r="259">
      <c r="A259" s="53"/>
    </row>
    <row r="260">
      <c r="A260" s="53"/>
    </row>
    <row r="261">
      <c r="A261" s="53"/>
    </row>
    <row r="262">
      <c r="A262" s="53"/>
    </row>
    <row r="263">
      <c r="A263" s="53"/>
    </row>
    <row r="264">
      <c r="A264" s="53"/>
    </row>
    <row r="265">
      <c r="A265" s="53"/>
    </row>
    <row r="266">
      <c r="A266" s="53"/>
    </row>
    <row r="267">
      <c r="A267" s="53"/>
    </row>
    <row r="268">
      <c r="A268" s="53"/>
    </row>
    <row r="269">
      <c r="A269" s="53"/>
    </row>
    <row r="270">
      <c r="A270" s="53"/>
    </row>
    <row r="271">
      <c r="A271" s="53"/>
    </row>
    <row r="272">
      <c r="A272" s="53"/>
    </row>
    <row r="273">
      <c r="A273" s="53"/>
    </row>
    <row r="274">
      <c r="A274" s="53"/>
    </row>
    <row r="275">
      <c r="A275" s="53"/>
    </row>
    <row r="276">
      <c r="A276" s="53"/>
    </row>
    <row r="277">
      <c r="A277" s="53"/>
    </row>
    <row r="278">
      <c r="A278" s="53"/>
    </row>
    <row r="279">
      <c r="A279" s="53"/>
    </row>
    <row r="280">
      <c r="A280" s="53"/>
    </row>
    <row r="281">
      <c r="A281" s="53"/>
    </row>
    <row r="282">
      <c r="A282" s="53"/>
    </row>
    <row r="283">
      <c r="A283" s="53"/>
    </row>
    <row r="284">
      <c r="A284" s="53"/>
    </row>
    <row r="285">
      <c r="A285" s="53"/>
    </row>
    <row r="286">
      <c r="A286" s="53"/>
    </row>
    <row r="287">
      <c r="A287" s="53"/>
    </row>
    <row r="288">
      <c r="A288" s="53"/>
    </row>
    <row r="289">
      <c r="A289" s="53"/>
    </row>
    <row r="290">
      <c r="A290" s="53"/>
    </row>
    <row r="291">
      <c r="A291" s="53"/>
    </row>
    <row r="292">
      <c r="A292" s="53"/>
    </row>
    <row r="293">
      <c r="A293" s="53"/>
    </row>
    <row r="294">
      <c r="A294" s="53"/>
    </row>
    <row r="295">
      <c r="A295" s="53"/>
    </row>
    <row r="296">
      <c r="A296" s="53"/>
    </row>
    <row r="297">
      <c r="A297" s="53"/>
    </row>
    <row r="298">
      <c r="A298" s="53"/>
    </row>
    <row r="299">
      <c r="A299" s="53"/>
    </row>
    <row r="300">
      <c r="A300" s="53"/>
    </row>
    <row r="301">
      <c r="A301" s="53"/>
    </row>
    <row r="302">
      <c r="A302" s="53"/>
    </row>
    <row r="303">
      <c r="A303" s="53"/>
    </row>
    <row r="304">
      <c r="A304" s="53"/>
    </row>
    <row r="305">
      <c r="A305" s="53"/>
    </row>
    <row r="306">
      <c r="A306" s="53"/>
    </row>
    <row r="307">
      <c r="A307" s="53"/>
    </row>
    <row r="308">
      <c r="A308" s="53"/>
    </row>
    <row r="309">
      <c r="A309" s="53"/>
    </row>
    <row r="310">
      <c r="A310" s="53"/>
    </row>
    <row r="311">
      <c r="A311" s="53"/>
    </row>
    <row r="312">
      <c r="A312" s="53"/>
    </row>
    <row r="313">
      <c r="A313" s="53"/>
    </row>
    <row r="314">
      <c r="A314" s="53"/>
    </row>
    <row r="315">
      <c r="A315" s="53"/>
    </row>
    <row r="316">
      <c r="A316" s="53"/>
    </row>
    <row r="317">
      <c r="A317" s="53"/>
    </row>
    <row r="318">
      <c r="A318" s="53"/>
    </row>
    <row r="319">
      <c r="A319" s="53"/>
    </row>
    <row r="320">
      <c r="A320" s="53"/>
    </row>
    <row r="321">
      <c r="A321" s="53"/>
    </row>
    <row r="322">
      <c r="A322" s="53"/>
    </row>
    <row r="323">
      <c r="A323" s="53"/>
    </row>
    <row r="324">
      <c r="A324" s="53"/>
    </row>
    <row r="325">
      <c r="A325" s="53"/>
    </row>
    <row r="326">
      <c r="A326" s="53"/>
    </row>
    <row r="327">
      <c r="A327" s="53"/>
    </row>
    <row r="328">
      <c r="A328" s="53"/>
    </row>
    <row r="329">
      <c r="A329" s="53"/>
    </row>
    <row r="330">
      <c r="A330" s="53"/>
    </row>
    <row r="331">
      <c r="A331" s="53"/>
    </row>
    <row r="332">
      <c r="A332" s="53"/>
    </row>
    <row r="333">
      <c r="A333" s="53"/>
    </row>
    <row r="334">
      <c r="A334" s="53"/>
    </row>
    <row r="335">
      <c r="A335" s="53"/>
    </row>
    <row r="336">
      <c r="A336" s="53"/>
    </row>
    <row r="337">
      <c r="A337" s="53"/>
    </row>
    <row r="338">
      <c r="A338" s="53"/>
    </row>
    <row r="339">
      <c r="A339" s="53"/>
    </row>
    <row r="340">
      <c r="A340" s="53"/>
    </row>
    <row r="341">
      <c r="A341" s="53"/>
    </row>
    <row r="342">
      <c r="A342" s="53"/>
    </row>
    <row r="343">
      <c r="A343" s="53"/>
    </row>
    <row r="344">
      <c r="A344" s="53"/>
    </row>
    <row r="345">
      <c r="A345" s="53"/>
    </row>
    <row r="346">
      <c r="A346" s="53"/>
    </row>
    <row r="347">
      <c r="A347" s="53"/>
    </row>
    <row r="348">
      <c r="A348" s="53"/>
    </row>
    <row r="349">
      <c r="A349" s="53"/>
    </row>
    <row r="350">
      <c r="A350" s="53"/>
    </row>
    <row r="351">
      <c r="A351" s="53"/>
    </row>
    <row r="352">
      <c r="A352" s="53"/>
    </row>
    <row r="353">
      <c r="A353" s="53"/>
    </row>
    <row r="354">
      <c r="A354" s="53"/>
    </row>
    <row r="355">
      <c r="A355" s="53"/>
    </row>
    <row r="356">
      <c r="A356" s="53"/>
    </row>
    <row r="357">
      <c r="A357" s="53"/>
    </row>
    <row r="358">
      <c r="A358" s="53"/>
    </row>
    <row r="359">
      <c r="A359" s="53"/>
    </row>
    <row r="360">
      <c r="A360" s="53"/>
    </row>
    <row r="361">
      <c r="A361" s="53"/>
    </row>
    <row r="362">
      <c r="A362" s="53"/>
    </row>
    <row r="363">
      <c r="A363" s="53"/>
    </row>
    <row r="364">
      <c r="A364" s="53"/>
    </row>
    <row r="365">
      <c r="A365" s="53"/>
    </row>
    <row r="366">
      <c r="A366" s="53"/>
    </row>
    <row r="367">
      <c r="A367" s="53"/>
    </row>
    <row r="368">
      <c r="A368" s="53"/>
    </row>
    <row r="369">
      <c r="A369" s="53"/>
    </row>
    <row r="370">
      <c r="A370" s="53"/>
    </row>
    <row r="371">
      <c r="A371" s="53"/>
    </row>
    <row r="372">
      <c r="A372" s="53"/>
    </row>
    <row r="373">
      <c r="A373" s="53"/>
    </row>
    <row r="374">
      <c r="A374" s="53"/>
    </row>
    <row r="375">
      <c r="A375" s="53"/>
    </row>
    <row r="376">
      <c r="A376" s="53"/>
    </row>
    <row r="377">
      <c r="A377" s="53"/>
    </row>
    <row r="378">
      <c r="A378" s="53"/>
    </row>
    <row r="379">
      <c r="A379" s="53"/>
    </row>
    <row r="380">
      <c r="A380" s="53"/>
    </row>
    <row r="381">
      <c r="A381" s="53"/>
    </row>
    <row r="382">
      <c r="A382" s="53"/>
    </row>
    <row r="383">
      <c r="A383" s="53"/>
    </row>
    <row r="384">
      <c r="A384" s="53"/>
    </row>
    <row r="385">
      <c r="A385" s="53"/>
    </row>
    <row r="386">
      <c r="A386" s="53"/>
    </row>
    <row r="387">
      <c r="A387" s="53"/>
    </row>
    <row r="388">
      <c r="A388" s="53"/>
    </row>
    <row r="389">
      <c r="A389" s="53"/>
    </row>
    <row r="390">
      <c r="A390" s="53"/>
    </row>
    <row r="391">
      <c r="A391" s="53"/>
    </row>
    <row r="392">
      <c r="A392" s="53"/>
    </row>
    <row r="393">
      <c r="A393" s="53"/>
    </row>
    <row r="394">
      <c r="A394" s="53"/>
    </row>
    <row r="395">
      <c r="A395" s="53"/>
    </row>
    <row r="396">
      <c r="A396" s="53"/>
    </row>
    <row r="397">
      <c r="A397" s="53"/>
    </row>
    <row r="398">
      <c r="A398" s="53"/>
    </row>
    <row r="399">
      <c r="A399" s="53"/>
    </row>
    <row r="400">
      <c r="A400" s="53"/>
    </row>
    <row r="401">
      <c r="A401" s="53"/>
    </row>
    <row r="402">
      <c r="A402" s="53"/>
    </row>
    <row r="403">
      <c r="A403" s="53"/>
    </row>
    <row r="404">
      <c r="A404" s="53"/>
    </row>
    <row r="405">
      <c r="A405" s="53"/>
    </row>
    <row r="406">
      <c r="A406" s="53"/>
    </row>
    <row r="407">
      <c r="A407" s="53"/>
    </row>
    <row r="408">
      <c r="A408" s="53"/>
    </row>
    <row r="409">
      <c r="A409" s="53"/>
    </row>
    <row r="410">
      <c r="A410" s="53"/>
    </row>
    <row r="411">
      <c r="A411" s="53"/>
    </row>
    <row r="412">
      <c r="A412" s="53"/>
    </row>
    <row r="413">
      <c r="A413" s="53"/>
    </row>
    <row r="414">
      <c r="A414" s="53"/>
    </row>
    <row r="415">
      <c r="A415" s="53"/>
    </row>
    <row r="416">
      <c r="A416" s="53"/>
    </row>
    <row r="417">
      <c r="A417" s="53"/>
    </row>
    <row r="418">
      <c r="A418" s="53"/>
    </row>
    <row r="419">
      <c r="A419" s="53"/>
    </row>
    <row r="420">
      <c r="A420" s="53"/>
    </row>
    <row r="421">
      <c r="A421" s="53"/>
    </row>
    <row r="422">
      <c r="A422" s="53"/>
    </row>
    <row r="423">
      <c r="A423" s="53"/>
    </row>
    <row r="424">
      <c r="A424" s="53"/>
    </row>
    <row r="425">
      <c r="A425" s="53"/>
    </row>
    <row r="426">
      <c r="A426" s="53"/>
    </row>
    <row r="427">
      <c r="A427" s="53"/>
    </row>
    <row r="428">
      <c r="A428" s="53"/>
    </row>
    <row r="429">
      <c r="A429" s="53"/>
    </row>
    <row r="430">
      <c r="A430" s="53"/>
    </row>
    <row r="431">
      <c r="A431" s="53"/>
    </row>
    <row r="432">
      <c r="A432" s="53"/>
    </row>
    <row r="433">
      <c r="A433" s="53"/>
    </row>
    <row r="434">
      <c r="A434" s="53"/>
    </row>
    <row r="435">
      <c r="A435" s="53"/>
    </row>
    <row r="436">
      <c r="A436" s="53"/>
    </row>
    <row r="437">
      <c r="A437" s="53"/>
    </row>
    <row r="438">
      <c r="A438" s="53"/>
    </row>
    <row r="439">
      <c r="A439" s="53"/>
    </row>
    <row r="440">
      <c r="A440" s="53"/>
    </row>
    <row r="441">
      <c r="A441" s="53"/>
    </row>
    <row r="442">
      <c r="A442" s="53"/>
    </row>
    <row r="443">
      <c r="A443" s="53"/>
    </row>
    <row r="444">
      <c r="A444" s="53"/>
    </row>
    <row r="445">
      <c r="A445" s="53"/>
    </row>
    <row r="446">
      <c r="A446" s="53"/>
    </row>
    <row r="447">
      <c r="A447" s="53"/>
    </row>
    <row r="448">
      <c r="A448" s="53"/>
    </row>
    <row r="449">
      <c r="A449" s="53"/>
    </row>
    <row r="450">
      <c r="A450" s="53"/>
    </row>
    <row r="451">
      <c r="A451" s="53"/>
    </row>
    <row r="452">
      <c r="A452" s="53"/>
    </row>
    <row r="453">
      <c r="A453" s="53"/>
    </row>
    <row r="454">
      <c r="A454" s="53"/>
    </row>
    <row r="455">
      <c r="A455" s="53"/>
    </row>
    <row r="456">
      <c r="A456" s="53"/>
    </row>
    <row r="457">
      <c r="A457" s="53"/>
    </row>
    <row r="458">
      <c r="A458" s="53"/>
    </row>
    <row r="459">
      <c r="A459" s="53"/>
    </row>
    <row r="460">
      <c r="A460" s="53"/>
    </row>
    <row r="461">
      <c r="A461" s="53"/>
    </row>
    <row r="462">
      <c r="A462" s="53"/>
    </row>
    <row r="463">
      <c r="A463" s="53"/>
    </row>
    <row r="464">
      <c r="A464" s="53"/>
    </row>
    <row r="465">
      <c r="A465" s="53"/>
    </row>
    <row r="466">
      <c r="A466" s="53"/>
    </row>
    <row r="467">
      <c r="A467" s="53"/>
    </row>
    <row r="468">
      <c r="A468" s="53"/>
    </row>
    <row r="469">
      <c r="A469" s="53"/>
    </row>
    <row r="470">
      <c r="A470" s="53"/>
    </row>
    <row r="471">
      <c r="A471" s="53"/>
    </row>
    <row r="472">
      <c r="A472" s="53"/>
    </row>
    <row r="473">
      <c r="A473" s="53"/>
    </row>
    <row r="474">
      <c r="A474" s="53"/>
    </row>
    <row r="475">
      <c r="A475" s="53"/>
    </row>
    <row r="476">
      <c r="A476" s="53"/>
    </row>
    <row r="477">
      <c r="A477" s="53"/>
    </row>
    <row r="478">
      <c r="A478" s="53"/>
    </row>
    <row r="479">
      <c r="A479" s="53"/>
    </row>
    <row r="480">
      <c r="A480" s="53"/>
    </row>
    <row r="481">
      <c r="A481" s="53"/>
    </row>
    <row r="482">
      <c r="A482" s="53"/>
    </row>
    <row r="483">
      <c r="A483" s="53"/>
    </row>
    <row r="484">
      <c r="A484" s="53"/>
    </row>
    <row r="485">
      <c r="A485" s="53"/>
    </row>
    <row r="486">
      <c r="A486" s="53"/>
    </row>
    <row r="487">
      <c r="A487" s="53"/>
    </row>
    <row r="488">
      <c r="A488" s="53"/>
    </row>
    <row r="489">
      <c r="A489" s="53"/>
    </row>
    <row r="490">
      <c r="A490" s="53"/>
    </row>
    <row r="491">
      <c r="A491" s="53"/>
    </row>
    <row r="492">
      <c r="A492" s="53"/>
    </row>
    <row r="493">
      <c r="A493" s="53"/>
    </row>
    <row r="494">
      <c r="A494" s="53"/>
    </row>
    <row r="495">
      <c r="A495" s="53"/>
    </row>
    <row r="496">
      <c r="A496" s="53"/>
    </row>
    <row r="497">
      <c r="A497" s="53"/>
    </row>
    <row r="498">
      <c r="A498" s="53"/>
    </row>
    <row r="499">
      <c r="A499" s="53"/>
    </row>
    <row r="500">
      <c r="A500" s="53"/>
    </row>
    <row r="501">
      <c r="A501" s="53"/>
    </row>
    <row r="502">
      <c r="A502" s="53"/>
    </row>
    <row r="503">
      <c r="A503" s="53"/>
    </row>
    <row r="504">
      <c r="A504" s="53"/>
    </row>
    <row r="505">
      <c r="A505" s="53"/>
    </row>
    <row r="506">
      <c r="A506" s="53"/>
    </row>
    <row r="507">
      <c r="A507" s="53"/>
    </row>
    <row r="508">
      <c r="A508" s="53"/>
    </row>
    <row r="509">
      <c r="A509" s="53"/>
    </row>
    <row r="510">
      <c r="A510" s="53"/>
    </row>
    <row r="511">
      <c r="A511" s="53"/>
    </row>
    <row r="512">
      <c r="A512" s="53"/>
    </row>
    <row r="513">
      <c r="A513" s="53"/>
    </row>
    <row r="514">
      <c r="A514" s="53"/>
    </row>
    <row r="515">
      <c r="A515" s="53"/>
    </row>
    <row r="516">
      <c r="A516" s="53"/>
    </row>
    <row r="517">
      <c r="A517" s="53"/>
    </row>
    <row r="518">
      <c r="A518" s="53"/>
    </row>
    <row r="519">
      <c r="A519" s="53"/>
    </row>
    <row r="520">
      <c r="A520" s="53"/>
    </row>
    <row r="521">
      <c r="A521" s="53"/>
    </row>
    <row r="522">
      <c r="A522" s="53"/>
    </row>
    <row r="523">
      <c r="A523" s="53"/>
    </row>
    <row r="524">
      <c r="A524" s="53"/>
    </row>
    <row r="525">
      <c r="A525" s="53"/>
    </row>
    <row r="526">
      <c r="A526" s="53"/>
    </row>
    <row r="527">
      <c r="A527" s="53"/>
    </row>
    <row r="528">
      <c r="A528" s="53"/>
    </row>
    <row r="529">
      <c r="A529" s="53"/>
    </row>
    <row r="530">
      <c r="A530" s="53"/>
    </row>
    <row r="531">
      <c r="A531" s="53"/>
    </row>
    <row r="532">
      <c r="A532" s="53"/>
    </row>
    <row r="533">
      <c r="A533" s="53"/>
    </row>
    <row r="534">
      <c r="A534" s="53"/>
    </row>
    <row r="535">
      <c r="A535" s="53"/>
    </row>
    <row r="536">
      <c r="A536" s="53"/>
    </row>
    <row r="537">
      <c r="A537" s="53"/>
    </row>
    <row r="538">
      <c r="A538" s="53"/>
    </row>
    <row r="539">
      <c r="A539" s="53"/>
    </row>
    <row r="540">
      <c r="A540" s="53"/>
    </row>
    <row r="541">
      <c r="A541" s="53"/>
    </row>
    <row r="542">
      <c r="A542" s="53"/>
    </row>
    <row r="543">
      <c r="A543" s="53"/>
    </row>
    <row r="544">
      <c r="A544" s="53"/>
    </row>
    <row r="545">
      <c r="A545" s="53"/>
    </row>
    <row r="546">
      <c r="A546" s="53"/>
    </row>
    <row r="547">
      <c r="A547" s="53"/>
    </row>
    <row r="548">
      <c r="A548" s="53"/>
    </row>
    <row r="549">
      <c r="A549" s="53"/>
    </row>
    <row r="550">
      <c r="A550" s="53"/>
    </row>
    <row r="551">
      <c r="A551" s="53"/>
    </row>
    <row r="552">
      <c r="A552" s="53"/>
    </row>
    <row r="553">
      <c r="A553" s="53"/>
    </row>
    <row r="554">
      <c r="A554" s="53"/>
    </row>
    <row r="555">
      <c r="A555" s="53"/>
    </row>
    <row r="556">
      <c r="A556" s="53"/>
    </row>
    <row r="557">
      <c r="A557" s="53"/>
    </row>
    <row r="558">
      <c r="A558" s="53"/>
    </row>
    <row r="559">
      <c r="A559" s="53"/>
    </row>
    <row r="560">
      <c r="A560" s="53"/>
    </row>
    <row r="561">
      <c r="A561" s="53"/>
    </row>
    <row r="562">
      <c r="A562" s="53"/>
    </row>
    <row r="563">
      <c r="A563" s="53"/>
    </row>
    <row r="564">
      <c r="A564" s="53"/>
    </row>
    <row r="565">
      <c r="A565" s="53"/>
    </row>
    <row r="566">
      <c r="A566" s="53"/>
    </row>
    <row r="567">
      <c r="A567" s="53"/>
    </row>
    <row r="568">
      <c r="A568" s="53"/>
    </row>
    <row r="569">
      <c r="A569" s="53"/>
    </row>
    <row r="570">
      <c r="A570" s="53"/>
    </row>
    <row r="571">
      <c r="A571" s="53"/>
    </row>
    <row r="572">
      <c r="A572" s="53"/>
    </row>
    <row r="573">
      <c r="A573" s="53"/>
    </row>
    <row r="574">
      <c r="A574" s="53"/>
    </row>
    <row r="575">
      <c r="A575" s="53"/>
    </row>
    <row r="576">
      <c r="A576" s="53"/>
    </row>
    <row r="577">
      <c r="A577" s="53"/>
    </row>
    <row r="578">
      <c r="A578" s="53"/>
    </row>
    <row r="579">
      <c r="A579" s="53"/>
    </row>
    <row r="580">
      <c r="A580" s="53"/>
    </row>
    <row r="581">
      <c r="A581" s="53"/>
    </row>
    <row r="582">
      <c r="A582" s="53"/>
    </row>
    <row r="583">
      <c r="A583" s="53"/>
    </row>
    <row r="584">
      <c r="A584" s="53"/>
    </row>
    <row r="585">
      <c r="A585" s="53"/>
    </row>
    <row r="586">
      <c r="A586" s="53"/>
    </row>
    <row r="587">
      <c r="A587" s="53"/>
    </row>
    <row r="588">
      <c r="A588" s="53"/>
    </row>
    <row r="589">
      <c r="A589" s="53"/>
    </row>
    <row r="590">
      <c r="A590" s="53"/>
    </row>
    <row r="591">
      <c r="A591" s="53"/>
    </row>
    <row r="592">
      <c r="A592" s="53"/>
    </row>
    <row r="593">
      <c r="A593" s="53"/>
    </row>
    <row r="594">
      <c r="A594" s="53"/>
    </row>
    <row r="595">
      <c r="A595" s="53"/>
    </row>
    <row r="596">
      <c r="A596" s="53"/>
    </row>
    <row r="597">
      <c r="A597" s="53"/>
    </row>
    <row r="598">
      <c r="A598" s="53"/>
    </row>
    <row r="599">
      <c r="A599" s="53"/>
    </row>
    <row r="600">
      <c r="A600" s="53"/>
    </row>
    <row r="601">
      <c r="A601" s="53"/>
    </row>
    <row r="602">
      <c r="A602" s="53"/>
    </row>
    <row r="603">
      <c r="A603" s="53"/>
    </row>
    <row r="604">
      <c r="A604" s="53"/>
    </row>
    <row r="605">
      <c r="A605" s="53"/>
    </row>
    <row r="606">
      <c r="A606" s="53"/>
    </row>
    <row r="607">
      <c r="A607" s="53"/>
    </row>
    <row r="608">
      <c r="A608" s="53"/>
    </row>
    <row r="609">
      <c r="A609" s="53"/>
    </row>
    <row r="610">
      <c r="A610" s="53"/>
    </row>
    <row r="611">
      <c r="A611" s="53"/>
    </row>
    <row r="612">
      <c r="A612" s="53"/>
    </row>
    <row r="613">
      <c r="A613" s="53"/>
    </row>
    <row r="614">
      <c r="A614" s="53"/>
    </row>
    <row r="615">
      <c r="A615" s="53"/>
    </row>
    <row r="616">
      <c r="A616" s="53"/>
    </row>
    <row r="617">
      <c r="A617" s="53"/>
    </row>
    <row r="618">
      <c r="A618" s="53"/>
    </row>
    <row r="619">
      <c r="A619" s="53"/>
    </row>
    <row r="620">
      <c r="A620" s="53"/>
    </row>
    <row r="621">
      <c r="A621" s="53"/>
    </row>
    <row r="622">
      <c r="A622" s="53"/>
    </row>
    <row r="623">
      <c r="A623" s="53"/>
    </row>
    <row r="624">
      <c r="A624" s="53"/>
    </row>
    <row r="625">
      <c r="A625" s="53"/>
    </row>
    <row r="626">
      <c r="A626" s="53"/>
    </row>
    <row r="627">
      <c r="A627" s="53"/>
    </row>
    <row r="628">
      <c r="A628" s="53"/>
    </row>
    <row r="629">
      <c r="A629" s="53"/>
    </row>
    <row r="630">
      <c r="A630" s="53"/>
    </row>
    <row r="631">
      <c r="A631" s="53"/>
    </row>
    <row r="632">
      <c r="A632" s="53"/>
    </row>
    <row r="633">
      <c r="A633" s="53"/>
    </row>
    <row r="634">
      <c r="A634" s="53"/>
    </row>
    <row r="635">
      <c r="A635" s="53"/>
    </row>
    <row r="636">
      <c r="A636" s="53"/>
    </row>
    <row r="637">
      <c r="A637" s="53"/>
    </row>
    <row r="638">
      <c r="A638" s="53"/>
    </row>
    <row r="639">
      <c r="A639" s="53"/>
    </row>
    <row r="640">
      <c r="A640" s="53"/>
    </row>
    <row r="641">
      <c r="A641" s="53"/>
    </row>
    <row r="642">
      <c r="A642" s="53"/>
    </row>
    <row r="643">
      <c r="A643" s="53"/>
    </row>
    <row r="644">
      <c r="A644" s="53"/>
    </row>
    <row r="645">
      <c r="A645" s="53"/>
    </row>
    <row r="646">
      <c r="A646" s="53"/>
    </row>
    <row r="647">
      <c r="A647" s="53"/>
    </row>
    <row r="648">
      <c r="A648" s="53"/>
    </row>
    <row r="649">
      <c r="A649" s="53"/>
    </row>
    <row r="650">
      <c r="A650" s="53"/>
    </row>
    <row r="651">
      <c r="A651" s="53"/>
    </row>
    <row r="652">
      <c r="A652" s="53"/>
    </row>
    <row r="653">
      <c r="A653" s="53"/>
    </row>
    <row r="654">
      <c r="A654" s="53"/>
    </row>
    <row r="655">
      <c r="A655" s="53"/>
    </row>
    <row r="656">
      <c r="A656" s="53"/>
    </row>
    <row r="657">
      <c r="A657" s="53"/>
    </row>
    <row r="658">
      <c r="A658" s="53"/>
    </row>
    <row r="659">
      <c r="A659" s="53"/>
    </row>
    <row r="660">
      <c r="A660" s="53"/>
    </row>
    <row r="661">
      <c r="A661" s="53"/>
    </row>
    <row r="662">
      <c r="A662" s="53"/>
    </row>
    <row r="663">
      <c r="A663" s="53"/>
    </row>
    <row r="664">
      <c r="A664" s="53"/>
    </row>
    <row r="665">
      <c r="A665" s="53"/>
    </row>
    <row r="666">
      <c r="A666" s="53"/>
    </row>
    <row r="667">
      <c r="A667" s="53"/>
    </row>
    <row r="668">
      <c r="A668" s="53"/>
    </row>
    <row r="669">
      <c r="A669" s="53"/>
    </row>
    <row r="670">
      <c r="A670" s="53"/>
    </row>
    <row r="671">
      <c r="A671" s="53"/>
    </row>
    <row r="672">
      <c r="A672" s="53"/>
    </row>
    <row r="673">
      <c r="A673" s="53"/>
    </row>
    <row r="674">
      <c r="A674" s="53"/>
    </row>
    <row r="675">
      <c r="A675" s="53"/>
    </row>
    <row r="676">
      <c r="A676" s="53"/>
    </row>
    <row r="677">
      <c r="A677" s="53"/>
    </row>
    <row r="678">
      <c r="A678" s="53"/>
    </row>
    <row r="679">
      <c r="A679" s="53"/>
    </row>
    <row r="680">
      <c r="A680" s="53"/>
    </row>
    <row r="681">
      <c r="A681" s="53"/>
    </row>
    <row r="682">
      <c r="A682" s="53"/>
    </row>
    <row r="683">
      <c r="A683" s="53"/>
    </row>
    <row r="684">
      <c r="A684" s="53"/>
    </row>
    <row r="685">
      <c r="A685" s="53"/>
    </row>
    <row r="686">
      <c r="A686" s="53"/>
    </row>
    <row r="687">
      <c r="A687" s="53"/>
    </row>
    <row r="688">
      <c r="A688" s="53"/>
    </row>
    <row r="689">
      <c r="A689" s="53"/>
    </row>
    <row r="690">
      <c r="A690" s="53"/>
    </row>
    <row r="691">
      <c r="A691" s="53"/>
    </row>
    <row r="692">
      <c r="A692" s="53"/>
    </row>
    <row r="693">
      <c r="A693" s="53"/>
    </row>
    <row r="694">
      <c r="A694" s="53"/>
    </row>
    <row r="695">
      <c r="A695" s="53"/>
    </row>
    <row r="696">
      <c r="A696" s="53"/>
    </row>
    <row r="697">
      <c r="A697" s="53"/>
    </row>
    <row r="698">
      <c r="A698" s="53"/>
    </row>
    <row r="699">
      <c r="A699" s="53"/>
    </row>
    <row r="700">
      <c r="A700" s="53"/>
    </row>
    <row r="701">
      <c r="A701" s="53"/>
    </row>
    <row r="702">
      <c r="A702" s="53"/>
    </row>
    <row r="703">
      <c r="A703" s="53"/>
    </row>
    <row r="704">
      <c r="A704" s="53"/>
    </row>
    <row r="705">
      <c r="A705" s="53"/>
    </row>
    <row r="706">
      <c r="A706" s="53"/>
    </row>
    <row r="707">
      <c r="A707" s="53"/>
    </row>
    <row r="708">
      <c r="A708" s="53"/>
    </row>
    <row r="709">
      <c r="A709" s="53"/>
    </row>
    <row r="710">
      <c r="A710" s="53"/>
    </row>
    <row r="711">
      <c r="A711" s="53"/>
    </row>
    <row r="712">
      <c r="A712" s="53"/>
    </row>
    <row r="713">
      <c r="A713" s="53"/>
    </row>
    <row r="714">
      <c r="A714" s="53"/>
    </row>
    <row r="715">
      <c r="A715" s="53"/>
    </row>
    <row r="716">
      <c r="A716" s="53"/>
    </row>
    <row r="717">
      <c r="A717" s="53"/>
    </row>
    <row r="718">
      <c r="A718" s="53"/>
    </row>
    <row r="719">
      <c r="A719" s="53"/>
    </row>
    <row r="720">
      <c r="A720" s="53"/>
    </row>
    <row r="721">
      <c r="A721" s="53"/>
    </row>
    <row r="722">
      <c r="A722" s="53"/>
    </row>
    <row r="723">
      <c r="A723" s="53"/>
    </row>
    <row r="724">
      <c r="A724" s="53"/>
    </row>
    <row r="725">
      <c r="A725" s="53"/>
    </row>
    <row r="726">
      <c r="A726" s="53"/>
    </row>
    <row r="727">
      <c r="A727" s="53"/>
    </row>
    <row r="728">
      <c r="A728" s="53"/>
    </row>
    <row r="729">
      <c r="A729" s="53"/>
    </row>
    <row r="730">
      <c r="A730" s="53"/>
    </row>
    <row r="731">
      <c r="A731" s="53"/>
    </row>
    <row r="732">
      <c r="A732" s="53"/>
    </row>
    <row r="733">
      <c r="A733" s="53"/>
    </row>
    <row r="734">
      <c r="A734" s="53"/>
    </row>
    <row r="735">
      <c r="A735" s="53"/>
    </row>
    <row r="736">
      <c r="A736" s="53"/>
    </row>
    <row r="737">
      <c r="A737" s="53"/>
    </row>
    <row r="738">
      <c r="A738" s="53"/>
    </row>
    <row r="739">
      <c r="A739" s="53"/>
    </row>
    <row r="740">
      <c r="A740" s="53"/>
    </row>
    <row r="741">
      <c r="A741" s="53"/>
    </row>
    <row r="742">
      <c r="A742" s="53"/>
    </row>
    <row r="743">
      <c r="A743" s="53"/>
    </row>
    <row r="744">
      <c r="A744" s="53"/>
    </row>
    <row r="745">
      <c r="A745" s="53"/>
    </row>
    <row r="746">
      <c r="A746" s="53"/>
    </row>
    <row r="747">
      <c r="A747" s="53"/>
    </row>
    <row r="748">
      <c r="A748" s="53"/>
    </row>
    <row r="749">
      <c r="A749" s="53"/>
    </row>
    <row r="750">
      <c r="A750" s="53"/>
    </row>
    <row r="751">
      <c r="A751" s="53"/>
    </row>
    <row r="752">
      <c r="A752" s="53"/>
    </row>
    <row r="753">
      <c r="A753" s="53"/>
    </row>
    <row r="754">
      <c r="A754" s="53"/>
    </row>
    <row r="755">
      <c r="A755" s="53"/>
    </row>
    <row r="756">
      <c r="A756" s="53"/>
    </row>
    <row r="757">
      <c r="A757" s="53"/>
    </row>
    <row r="758">
      <c r="A758" s="53"/>
    </row>
    <row r="759">
      <c r="A759" s="53"/>
    </row>
    <row r="760">
      <c r="A760" s="53"/>
    </row>
    <row r="761">
      <c r="A761" s="53"/>
    </row>
    <row r="762">
      <c r="A762" s="53"/>
    </row>
    <row r="763">
      <c r="A763" s="53"/>
    </row>
    <row r="764">
      <c r="A764" s="53"/>
    </row>
    <row r="765">
      <c r="A765" s="53"/>
    </row>
    <row r="766">
      <c r="A766" s="53"/>
    </row>
    <row r="767">
      <c r="A767" s="53"/>
    </row>
    <row r="768">
      <c r="A768" s="53"/>
    </row>
    <row r="769">
      <c r="A769" s="53"/>
    </row>
    <row r="770">
      <c r="A770" s="53"/>
    </row>
    <row r="771">
      <c r="A771" s="53"/>
    </row>
    <row r="772">
      <c r="A772" s="53"/>
    </row>
    <row r="773">
      <c r="A773" s="53"/>
    </row>
    <row r="774">
      <c r="A774" s="53"/>
    </row>
    <row r="775">
      <c r="A775" s="53"/>
    </row>
    <row r="776">
      <c r="A776" s="53"/>
    </row>
    <row r="777">
      <c r="A777" s="53"/>
    </row>
    <row r="778">
      <c r="A778" s="53"/>
    </row>
    <row r="779">
      <c r="A779" s="53"/>
    </row>
    <row r="780">
      <c r="A780" s="53"/>
    </row>
    <row r="781">
      <c r="A781" s="53"/>
    </row>
    <row r="782">
      <c r="A782" s="53"/>
    </row>
    <row r="783">
      <c r="A783" s="53"/>
    </row>
    <row r="784">
      <c r="A784" s="53"/>
    </row>
    <row r="785">
      <c r="A785" s="53"/>
    </row>
    <row r="786">
      <c r="A786" s="53"/>
    </row>
    <row r="787">
      <c r="A787" s="53"/>
    </row>
    <row r="788">
      <c r="A788" s="53"/>
    </row>
    <row r="789">
      <c r="A789" s="53"/>
    </row>
    <row r="790">
      <c r="A790" s="53"/>
    </row>
    <row r="791">
      <c r="A791" s="53"/>
    </row>
    <row r="792">
      <c r="A792" s="53"/>
    </row>
    <row r="793">
      <c r="A793" s="53"/>
    </row>
    <row r="794">
      <c r="A794" s="53"/>
    </row>
    <row r="795">
      <c r="A795" s="53"/>
    </row>
    <row r="796">
      <c r="A796" s="53"/>
    </row>
    <row r="797">
      <c r="A797" s="53"/>
    </row>
    <row r="798">
      <c r="A798" s="53"/>
    </row>
    <row r="799">
      <c r="A799" s="53"/>
    </row>
    <row r="800">
      <c r="A800" s="53"/>
    </row>
    <row r="801">
      <c r="A801" s="53"/>
    </row>
    <row r="802">
      <c r="A802" s="53"/>
    </row>
    <row r="803">
      <c r="A803" s="53"/>
    </row>
    <row r="804">
      <c r="A804" s="53"/>
    </row>
    <row r="805">
      <c r="A805" s="53"/>
    </row>
    <row r="806">
      <c r="A806" s="53"/>
    </row>
    <row r="807">
      <c r="A807" s="53"/>
    </row>
    <row r="808">
      <c r="A808" s="53"/>
    </row>
    <row r="809">
      <c r="A809" s="53"/>
    </row>
    <row r="810">
      <c r="A810" s="53"/>
    </row>
    <row r="811">
      <c r="A811" s="53"/>
    </row>
    <row r="812">
      <c r="A812" s="53"/>
    </row>
    <row r="813">
      <c r="A813" s="53"/>
    </row>
    <row r="814">
      <c r="A814" s="53"/>
    </row>
    <row r="815">
      <c r="A815" s="53"/>
    </row>
    <row r="816">
      <c r="A816" s="53"/>
    </row>
    <row r="817">
      <c r="A817" s="53"/>
    </row>
    <row r="818">
      <c r="A818" s="53"/>
    </row>
    <row r="819">
      <c r="A819" s="53"/>
    </row>
    <row r="820">
      <c r="A820" s="53"/>
    </row>
    <row r="821">
      <c r="A821" s="53"/>
    </row>
    <row r="822">
      <c r="A822" s="53"/>
    </row>
    <row r="823">
      <c r="A823" s="53"/>
    </row>
    <row r="824">
      <c r="A824" s="53"/>
    </row>
    <row r="825">
      <c r="A825" s="53"/>
    </row>
    <row r="826">
      <c r="A826" s="53"/>
    </row>
    <row r="827">
      <c r="A827" s="53"/>
    </row>
    <row r="828">
      <c r="A828" s="53"/>
    </row>
    <row r="829">
      <c r="A829" s="53"/>
    </row>
    <row r="830">
      <c r="A830" s="53"/>
    </row>
    <row r="831">
      <c r="A831" s="53"/>
    </row>
    <row r="832">
      <c r="A832" s="53"/>
    </row>
    <row r="833">
      <c r="A833" s="53"/>
    </row>
    <row r="834">
      <c r="A834" s="53"/>
    </row>
    <row r="835">
      <c r="A835" s="53"/>
    </row>
    <row r="836">
      <c r="A836" s="53"/>
    </row>
    <row r="837">
      <c r="A837" s="53"/>
    </row>
    <row r="838">
      <c r="A838" s="53"/>
    </row>
    <row r="839">
      <c r="A839" s="53"/>
    </row>
    <row r="840">
      <c r="A840" s="53"/>
    </row>
    <row r="841">
      <c r="A841" s="53"/>
    </row>
    <row r="842">
      <c r="A842" s="53"/>
    </row>
    <row r="843">
      <c r="A843" s="53"/>
    </row>
    <row r="844">
      <c r="A844" s="53"/>
    </row>
    <row r="845">
      <c r="A845" s="53"/>
    </row>
    <row r="846">
      <c r="A846" s="53"/>
    </row>
    <row r="847">
      <c r="A847" s="53"/>
    </row>
    <row r="848">
      <c r="A848" s="53"/>
    </row>
    <row r="849">
      <c r="A849" s="53"/>
    </row>
    <row r="850">
      <c r="A850" s="53"/>
    </row>
    <row r="851">
      <c r="A851" s="53"/>
    </row>
    <row r="852">
      <c r="A852" s="53"/>
    </row>
    <row r="853">
      <c r="A853" s="53"/>
    </row>
    <row r="854">
      <c r="A854" s="53"/>
    </row>
    <row r="855">
      <c r="A855" s="53"/>
    </row>
    <row r="856">
      <c r="A856" s="53"/>
    </row>
    <row r="857">
      <c r="A857" s="53"/>
    </row>
    <row r="858">
      <c r="A858" s="53"/>
    </row>
    <row r="859">
      <c r="A859" s="53"/>
    </row>
    <row r="860">
      <c r="A860" s="53"/>
    </row>
    <row r="861">
      <c r="A861" s="53"/>
    </row>
    <row r="862">
      <c r="A862" s="53"/>
    </row>
    <row r="863">
      <c r="A863" s="53"/>
    </row>
    <row r="864">
      <c r="A864" s="53"/>
    </row>
    <row r="865">
      <c r="A865" s="53"/>
    </row>
    <row r="866">
      <c r="A866" s="53"/>
    </row>
    <row r="867">
      <c r="A867" s="53"/>
    </row>
    <row r="868">
      <c r="A868" s="53"/>
    </row>
    <row r="869">
      <c r="A869" s="53"/>
    </row>
    <row r="870">
      <c r="A870" s="53"/>
    </row>
    <row r="871">
      <c r="A871" s="53"/>
    </row>
    <row r="872">
      <c r="A872" s="53"/>
    </row>
    <row r="873">
      <c r="A873" s="53"/>
    </row>
    <row r="874">
      <c r="A874" s="53"/>
    </row>
    <row r="875">
      <c r="A875" s="53"/>
    </row>
    <row r="876">
      <c r="A876" s="53"/>
    </row>
    <row r="877">
      <c r="A877" s="53"/>
    </row>
    <row r="878">
      <c r="A878" s="53"/>
    </row>
    <row r="879">
      <c r="A879" s="53"/>
    </row>
    <row r="880">
      <c r="A880" s="53"/>
    </row>
    <row r="881">
      <c r="A881" s="53"/>
    </row>
    <row r="882">
      <c r="A882" s="53"/>
    </row>
    <row r="883">
      <c r="A883" s="53"/>
    </row>
    <row r="884">
      <c r="A884" s="53"/>
    </row>
    <row r="885">
      <c r="A885" s="53"/>
    </row>
    <row r="886">
      <c r="A886" s="53"/>
    </row>
    <row r="887">
      <c r="A887" s="53"/>
    </row>
    <row r="888">
      <c r="A888" s="53"/>
    </row>
    <row r="889">
      <c r="A889" s="53"/>
    </row>
    <row r="890">
      <c r="A890" s="53"/>
    </row>
    <row r="891">
      <c r="A891" s="53"/>
    </row>
    <row r="892">
      <c r="A892" s="53"/>
    </row>
    <row r="893">
      <c r="A893" s="53"/>
    </row>
    <row r="894">
      <c r="A894" s="53"/>
    </row>
    <row r="895">
      <c r="A895" s="53"/>
    </row>
    <row r="896">
      <c r="A896" s="53"/>
    </row>
    <row r="897">
      <c r="A897" s="53"/>
    </row>
    <row r="898">
      <c r="A898" s="53"/>
    </row>
    <row r="899">
      <c r="A899" s="53"/>
    </row>
    <row r="900">
      <c r="A900" s="53"/>
    </row>
    <row r="901">
      <c r="A901" s="53"/>
    </row>
    <row r="902">
      <c r="A902" s="53"/>
    </row>
    <row r="903">
      <c r="A903" s="53"/>
    </row>
    <row r="904">
      <c r="A904" s="53"/>
    </row>
    <row r="905">
      <c r="A905" s="53"/>
    </row>
    <row r="906">
      <c r="A906" s="53"/>
    </row>
    <row r="907">
      <c r="A907" s="53"/>
    </row>
    <row r="908">
      <c r="A908" s="53"/>
    </row>
    <row r="909">
      <c r="A909" s="53"/>
    </row>
    <row r="910">
      <c r="A910" s="53"/>
    </row>
    <row r="911">
      <c r="A911" s="53"/>
    </row>
    <row r="912">
      <c r="A912" s="53"/>
    </row>
    <row r="913">
      <c r="A913" s="53"/>
    </row>
    <row r="914">
      <c r="A914" s="53"/>
    </row>
    <row r="915">
      <c r="A915" s="53"/>
    </row>
    <row r="916">
      <c r="A916" s="53"/>
    </row>
    <row r="917">
      <c r="A917" s="53"/>
    </row>
    <row r="918">
      <c r="A918" s="53"/>
    </row>
    <row r="919">
      <c r="A919" s="53"/>
    </row>
    <row r="920">
      <c r="A920" s="53"/>
    </row>
    <row r="921">
      <c r="A921" s="53"/>
    </row>
    <row r="922">
      <c r="A922" s="53"/>
    </row>
    <row r="923">
      <c r="A923" s="53"/>
    </row>
    <row r="924">
      <c r="A924" s="53"/>
    </row>
    <row r="925">
      <c r="A925" s="53"/>
    </row>
    <row r="926">
      <c r="A926" s="53"/>
    </row>
    <row r="927">
      <c r="A927" s="53"/>
    </row>
    <row r="928">
      <c r="A928" s="53"/>
    </row>
    <row r="929">
      <c r="A929" s="53"/>
    </row>
    <row r="930">
      <c r="A930" s="53"/>
    </row>
    <row r="931">
      <c r="A931" s="53"/>
    </row>
    <row r="932">
      <c r="A932" s="53"/>
    </row>
    <row r="933">
      <c r="A933" s="53"/>
    </row>
    <row r="934">
      <c r="A934" s="53"/>
    </row>
    <row r="935">
      <c r="A935" s="53"/>
    </row>
    <row r="936">
      <c r="A936" s="53"/>
    </row>
    <row r="937">
      <c r="A937" s="53"/>
    </row>
    <row r="938">
      <c r="A938" s="53"/>
    </row>
    <row r="939">
      <c r="A939" s="53"/>
    </row>
    <row r="940">
      <c r="A940" s="53"/>
    </row>
    <row r="941">
      <c r="A941" s="53"/>
    </row>
    <row r="942">
      <c r="A942" s="53"/>
    </row>
    <row r="943">
      <c r="A943" s="53"/>
    </row>
    <row r="944">
      <c r="A944" s="53"/>
    </row>
    <row r="945">
      <c r="A945" s="53"/>
    </row>
    <row r="946">
      <c r="A946" s="53"/>
    </row>
    <row r="947">
      <c r="A947" s="53"/>
    </row>
    <row r="948">
      <c r="A948" s="53"/>
    </row>
    <row r="949">
      <c r="A949" s="53"/>
    </row>
    <row r="950">
      <c r="A950" s="53"/>
    </row>
    <row r="951">
      <c r="A951" s="53"/>
    </row>
    <row r="952">
      <c r="A952" s="53"/>
    </row>
    <row r="953">
      <c r="A953" s="53"/>
    </row>
    <row r="954">
      <c r="A954" s="53"/>
    </row>
    <row r="955">
      <c r="A955" s="53"/>
    </row>
    <row r="956">
      <c r="A956" s="53"/>
    </row>
    <row r="957">
      <c r="A957" s="53"/>
    </row>
    <row r="958">
      <c r="A958" s="53"/>
    </row>
    <row r="959">
      <c r="A959" s="53"/>
    </row>
    <row r="960">
      <c r="A960" s="53"/>
    </row>
    <row r="961">
      <c r="A961" s="53"/>
    </row>
    <row r="962">
      <c r="A962" s="53"/>
    </row>
    <row r="963">
      <c r="A963" s="53"/>
    </row>
    <row r="964">
      <c r="A964" s="53"/>
    </row>
    <row r="965">
      <c r="A965" s="53"/>
    </row>
    <row r="966">
      <c r="A966" s="53"/>
    </row>
    <row r="967">
      <c r="A967" s="53"/>
    </row>
    <row r="968">
      <c r="A968" s="53"/>
    </row>
    <row r="969">
      <c r="A969" s="53"/>
    </row>
    <row r="970">
      <c r="A970" s="53"/>
    </row>
    <row r="971">
      <c r="A971" s="53"/>
    </row>
    <row r="972">
      <c r="A972" s="53"/>
    </row>
    <row r="973">
      <c r="A973" s="53"/>
    </row>
    <row r="974">
      <c r="A974" s="53"/>
    </row>
    <row r="975">
      <c r="A975" s="53"/>
    </row>
    <row r="976">
      <c r="A976" s="53"/>
    </row>
    <row r="977">
      <c r="A977" s="53"/>
    </row>
    <row r="978">
      <c r="A978" s="53"/>
    </row>
    <row r="979">
      <c r="A979" s="53"/>
    </row>
    <row r="980">
      <c r="A980" s="53"/>
    </row>
    <row r="981">
      <c r="A981" s="53"/>
    </row>
    <row r="982">
      <c r="A982" s="53"/>
    </row>
    <row r="983">
      <c r="A983" s="53"/>
    </row>
    <row r="984">
      <c r="A984" s="53"/>
    </row>
    <row r="985">
      <c r="A985" s="53"/>
    </row>
  </sheetData>
  <drawing r:id="rId1"/>
</worksheet>
</file>