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9eb4a46ef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&amp; CURR INV" sheetId="1" r:id="R3c240dfe05e4447f"/>
    <x:sheet xmlns:r="http://schemas.openxmlformats.org/officeDocument/2006/relationships" name="Copy of SALES &amp; CURR INV (Learn" sheetId="2" r:id="Ra80115efef5540ad"/>
    <x:sheet xmlns:r="http://schemas.openxmlformats.org/officeDocument/2006/relationships" name="LOGISTICS DATA" sheetId="3" r:id="R9b70098e899045c8"/>
    <x:sheet xmlns:r="http://schemas.openxmlformats.org/officeDocument/2006/relationships" name="WH DATA" sheetId="4" r:id="R9afd722b756b431c"/>
    <x:sheet xmlns:r="http://schemas.openxmlformats.org/officeDocument/2006/relationships" name="ACTION PLAN" sheetId="5" r:id="R1a7d5e37c6c34024"/>
  </x:sheets>
</x:workbook>
</file>

<file path=xl/sharedStrings.xml><?xml version="1.0" encoding="utf-8"?>
<x:sst xmlns:x="http://schemas.openxmlformats.org/spreadsheetml/2006/main">
  <x:si>
    <x:t xml:space="preserve">SALES&gt;&gt;&gt;</x:t>
  </x:si>
  <x:si>
    <x:t xml:space="preserve">ITEM</x:t>
  </x:si>
  <x:si>
    <x:t xml:space="preserve">UNIT PRICE</x:t>
  </x:si>
  <x:si>
    <x:t xml:space="preserve">DIMENSIONS (SQ FT)</x:t>
  </x:si>
  <x:si>
    <x:t xml:space="preserve">SERVICE LEVEL</x:t>
  </x:si>
  <x:si>
    <x:t xml:space="preserve">MEAN</x:t>
  </x:si>
  <x:si>
    <x:t xml:space="preserve">STD DEV</x:t>
  </x:si>
  <x:si>
    <x:t xml:space="preserve">Z-SCORE</x:t>
  </x:si>
  <x:si>
    <x:t xml:space="preserve">LEAD TIME (Weeks)</x:t>
  </x:si>
  <x:si>
    <x:t xml:space="preserve">SAFETY STOCK</x:t>
  </x:si>
  <x:si>
    <x:t xml:space="preserve">NEW INVENTORY</x:t>
  </x:si>
  <x:si>
    <x:t xml:space="preserve">WH SPACE NEEDED (sq ft)</x:t>
  </x:si>
  <x:si>
    <x:t xml:space="preserve">PALLETS NEEDED</x:t>
  </x:si>
  <x:si>
    <x:t xml:space="preserve">CURRENT INVENTORY</x:t>
  </x:si>
  <x:si>
    <x:t xml:space="preserve">2H Target Revenue</x:t>
  </x:si>
  <x:si>
    <x:t xml:space="preserve">A1</x:t>
  </x:si>
  <x:si>
    <x:t xml:space="preserve">A2</x:t>
  </x:si>
  <x:si>
    <x:t xml:space="preserve">A3</x:t>
  </x:si>
  <x:si>
    <x:t xml:space="preserve">A4</x:t>
  </x:si>
  <x:si>
    <x:t xml:space="preserve">A5</x:t>
  </x:si>
  <x:si>
    <x:t xml:space="preserve">A6</x:t>
  </x:si>
  <x:si>
    <x:t xml:space="preserve">A7</x:t>
  </x:si>
  <x:si>
    <x:t xml:space="preserve">A8</x:t>
  </x:si>
  <x:si>
    <x:t xml:space="preserve">A9</x:t>
  </x:si>
  <x:si>
    <x:t xml:space="preserve">A10</x:t>
  </x:si>
  <x:si>
    <x:t xml:space="preserve">A11</x:t>
  </x:si>
  <x:si>
    <x:t xml:space="preserve">A12</x:t>
  </x:si>
  <x:si>
    <x:t xml:space="preserve">A13</x:t>
  </x:si>
  <x:si>
    <x:t xml:space="preserve">A14</x:t>
  </x:si>
  <x:si>
    <x:t xml:space="preserve">A15</x:t>
  </x:si>
  <x:si>
    <x:t xml:space="preserve">A16</x:t>
  </x:si>
  <x:si>
    <x:t xml:space="preserve">A17</x:t>
  </x:si>
  <x:si>
    <x:t xml:space="preserve">A18</x:t>
  </x:si>
  <x:si>
    <x:t xml:space="preserve">A19</x:t>
  </x:si>
  <x:si>
    <x:t xml:space="preserve">A20</x:t>
  </x:si>
  <x:si>
    <x:t xml:space="preserve">A21</x:t>
  </x:si>
  <x:si>
    <x:t xml:space="preserve">A22</x:t>
  </x:si>
  <x:si>
    <x:t xml:space="preserve">A23</x:t>
  </x:si>
  <x:si>
    <x:t xml:space="preserve">A24</x:t>
  </x:si>
  <x:si>
    <x:t xml:space="preserve">A25</x:t>
  </x:si>
  <x:si>
    <x:t xml:space="preserve">A26</x:t>
  </x:si>
  <x:si>
    <x:t xml:space="preserve">A27</x:t>
  </x:si>
  <x:si>
    <x:t xml:space="preserve">A28</x:t>
  </x:si>
  <x:si>
    <x:t xml:space="preserve">A29</x:t>
  </x:si>
  <x:si>
    <x:t xml:space="preserve">A30</x:t>
  </x:si>
  <x:si>
    <x:t xml:space="preserve">A31</x:t>
  </x:si>
  <x:si>
    <x:t xml:space="preserve">A32</x:t>
  </x:si>
  <x:si>
    <x:t xml:space="preserve">A33</x:t>
  </x:si>
  <x:si>
    <x:t xml:space="preserve">A34</x:t>
  </x:si>
  <x:si>
    <x:t xml:space="preserve">A35</x:t>
  </x:si>
  <x:si>
    <x:t xml:space="preserve">A36</x:t>
  </x:si>
  <x:si>
    <x:t xml:space="preserve">A37</x:t>
  </x:si>
  <x:si>
    <x:t xml:space="preserve">A38</x:t>
  </x:si>
  <x:si>
    <x:t xml:space="preserve">A39</x:t>
  </x:si>
  <x:si>
    <x:t xml:space="preserve">A40</x:t>
  </x:si>
  <x:si>
    <x:t xml:space="preserve">A41</x:t>
  </x:si>
  <x:si>
    <x:t xml:space="preserve">A42</x:t>
  </x:si>
  <x:si>
    <x:t xml:space="preserve">A43</x:t>
  </x:si>
  <x:si>
    <x:t xml:space="preserve">A44</x:t>
  </x:si>
  <x:si>
    <x:t xml:space="preserve">A45</x:t>
  </x:si>
  <x:si>
    <x:t xml:space="preserve">A46</x:t>
  </x:si>
  <x:si>
    <x:t xml:space="preserve">A47</x:t>
  </x:si>
  <x:si>
    <x:t xml:space="preserve">A48</x:t>
  </x:si>
  <x:si>
    <x:t xml:space="preserve">A49</x:t>
  </x:si>
  <x:si>
    <x:t xml:space="preserve">A50</x:t>
  </x:si>
  <x:si>
    <x:t xml:space="preserve">A51</x:t>
  </x:si>
  <x:si>
    <x:t xml:space="preserve">A52</x:t>
  </x:si>
  <x:si>
    <x:t xml:space="preserve">A53</x:t>
  </x:si>
  <x:si>
    <x:t xml:space="preserve">A54</x:t>
  </x:si>
  <x:si>
    <x:t xml:space="preserve">A55</x:t>
  </x:si>
  <x:si>
    <x:t xml:space="preserve">A56</x:t>
  </x:si>
  <x:si>
    <x:t xml:space="preserve">A57</x:t>
  </x:si>
  <x:si>
    <x:t xml:space="preserve">A58</x:t>
  </x:si>
  <x:si>
    <x:t xml:space="preserve">A59</x:t>
  </x:si>
  <x:si>
    <x:t xml:space="preserve">A60</x:t>
  </x:si>
  <x:si>
    <x:t xml:space="preserve">A61</x:t>
  </x:si>
  <x:si>
    <x:t xml:space="preserve">A62</x:t>
  </x:si>
  <x:si>
    <x:t xml:space="preserve">A63</x:t>
  </x:si>
  <x:si>
    <x:t xml:space="preserve">A64</x:t>
  </x:si>
  <x:si>
    <x:t xml:space="preserve">A65</x:t>
  </x:si>
  <x:si>
    <x:t xml:space="preserve">A66</x:t>
  </x:si>
  <x:si>
    <x:t xml:space="preserve">A67</x:t>
  </x:si>
  <x:si>
    <x:t xml:space="preserve">A68</x:t>
  </x:si>
  <x:si>
    <x:t xml:space="preserve">A69</x:t>
  </x:si>
  <x:si>
    <x:t xml:space="preserve">A70</x:t>
  </x:si>
  <x:si>
    <x:t xml:space="preserve">A71</x:t>
  </x:si>
  <x:si>
    <x:t xml:space="preserve">A72</x:t>
  </x:si>
  <x:si>
    <x:t xml:space="preserve">A73</x:t>
  </x:si>
  <x:si>
    <x:t xml:space="preserve">A74</x:t>
  </x:si>
  <x:si>
    <x:t xml:space="preserve">A75</x:t>
  </x:si>
  <x:si>
    <x:t xml:space="preserve">A76</x:t>
  </x:si>
  <x:si>
    <x:t xml:space="preserve">A77</x:t>
  </x:si>
  <x:si>
    <x:t xml:space="preserve">A78</x:t>
  </x:si>
  <x:si>
    <x:t xml:space="preserve">A79</x:t>
  </x:si>
  <x:si>
    <x:t xml:space="preserve">A80</x:t>
  </x:si>
  <x:si>
    <x:t xml:space="preserve">A81</x:t>
  </x:si>
  <x:si>
    <x:t xml:space="preserve">A82</x:t>
  </x:si>
  <x:si>
    <x:t xml:space="preserve">A83</x:t>
  </x:si>
  <x:si>
    <x:t xml:space="preserve">A84</x:t>
  </x:si>
  <x:si>
    <x:t xml:space="preserve">A85</x:t>
  </x:si>
  <x:si>
    <x:t xml:space="preserve">A86</x:t>
  </x:si>
  <x:si>
    <x:t xml:space="preserve">A87</x:t>
  </x:si>
  <x:si>
    <x:t xml:space="preserve">A88</x:t>
  </x:si>
  <x:si>
    <x:t xml:space="preserve">A89</x:t>
  </x:si>
  <x:si>
    <x:t xml:space="preserve">A90</x:t>
  </x:si>
  <x:si>
    <x:t xml:space="preserve">A91</x:t>
  </x:si>
  <x:si>
    <x:t xml:space="preserve">A92</x:t>
  </x:si>
  <x:si>
    <x:t xml:space="preserve">A93</x:t>
  </x:si>
  <x:si>
    <x:t xml:space="preserve">A94</x:t>
  </x:si>
  <x:si>
    <x:t xml:space="preserve">A95</x:t>
  </x:si>
  <x:si>
    <x:t xml:space="preserve">A96</x:t>
  </x:si>
  <x:si>
    <x:t xml:space="preserve">A97</x:t>
  </x:si>
  <x:si>
    <x:t xml:space="preserve">A98</x:t>
  </x:si>
  <x:si>
    <x:t xml:space="preserve">A99</x:t>
  </x:si>
  <x:si>
    <x:t xml:space="preserve">A100</x:t>
  </x:si>
  <x:si>
    <x:t xml:space="preserve">AIR</x:t>
  </x:si>
  <x:si>
    <x:t xml:space="preserve">OCEAN</x:t>
  </x:si>
  <x:si>
    <x:t xml:space="preserve">Item</x:t>
  </x:si>
  <x:si>
    <x:t xml:space="preserve">Supplier</x:t>
  </x:si>
  <x:si>
    <x:t xml:space="preserve">Destination</x:t>
  </x:si>
  <x:si>
    <x:t xml:space="preserve">Cost</x:t>
  </x:si>
  <x:si>
    <x:t xml:space="preserve">Lead Time (days)</x:t>
  </x:si>
  <x:si>
    <x:t xml:space="preserve">Supplier 1</x:t>
  </x:si>
  <x:si>
    <x:t xml:space="preserve">Warehouse 1</x:t>
  </x:si>
  <x:si>
    <x:t xml:space="preserve">Supplier 2</x:t>
  </x:si>
  <x:si>
    <x:t xml:space="preserve">Supplier 3</x:t>
  </x:si>
  <x:si>
    <x:t xml:space="preserve">Warehouse 2</x:t>
  </x:si>
  <x:si>
    <x:t xml:space="preserve">Store 1</x:t>
  </x:si>
  <x:si>
    <x:t xml:space="preserve">Store 2</x:t>
  </x:si>
  <x:si>
    <x:t xml:space="preserve">Store 3</x:t>
  </x:si>
  <x:si>
    <x:t xml:space="preserve">TOTAL WH CAPACITY</x:t>
  </x:si>
  <x:si>
    <x:t xml:space="preserve">sq ft</x:t>
  </x:si>
  <x:si>
    <x:t xml:space="preserve">PALLET SIZE</x:t>
  </x:si>
  <x:si>
    <x:t xml:space="preserve">PALLET SPACE AVAILABLE</x:t>
  </x:si>
  <x:si>
    <x:t xml:space="preserve">pallets</x:t>
  </x:si>
  <x:si>
    <x:t xml:space="preserve">Dimension (sq ft)</x:t>
  </x:si>
  <x:si>
    <x:t xml:space="preserve">Prosacco may encounter the following issue when implementing the inventory plan:</x:t>
  </x:si>
  <x:si>
    <x:t xml:space="preserve">Prosacco could address this issue by using a combination of the following solutions:</x:t>
  </x:si>
  <x:si>
    <x:t xml:space="preserve">Implementing an inventory plan can address challenges and optimize inventory feedback in the following ways:</x:t>
  </x:si>
</x:sst>
</file>

<file path=xl/styles.xml><?xml version="1.0" encoding="utf-8"?>
<x:styleSheet xmlns:x="http://schemas.openxmlformats.org/spreadsheetml/2006/main">
  <x:numFmts count="5">
    <x:numFmt numFmtId="164" formatCode="mmm yyyy"/>
    <x:numFmt numFmtId="165" formatCode="&quot;$&quot;#,##0.00"/>
    <x:numFmt numFmtId="200" formatCode="0%"/>
    <x:numFmt numFmtId="201" formatCode="0.00"/>
    <x:numFmt numFmtId="202" formatCode="0"/>
  </x:numFmts>
  <x:fonts count="7">
    <x:font>
      <x:sz val="10"/>
      <x:color rgb="FF000000"/>
      <x:name val="Arial"/>
    </x:font>
    <x:font>
      <x:b/>
      <x:color theme="1"/>
      <x:name val="Arial"/>
    </x:font>
    <x:font>
      <x:color theme="1"/>
      <x:name val="Arial"/>
    </x:font>
    <x:font>
      <x:color rgb="FF0000FF"/>
      <x:name val="Arial"/>
    </x:font>
    <x:font>
      <x:b/>
      <x:sz val="12"/>
      <x:color rgb="FFFFFFFF"/>
      <x:name val="&quot;Open Sans&quot;"/>
    </x:font>
    <x:font>
      <x:sz val="12"/>
      <x:color rgb="FF000000"/>
      <x:name val="&quot;Open Sans&quot;"/>
    </x:font>
    <x:font>
      <x:sz val="12"/>
      <x:color theme="1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rgb="FF00FFFF"/>
      </x:patternFill>
    </x:fill>
    <x:fill>
      <x:patternFill patternType="solid">
        <x:fgColor theme="0"/>
      </x:patternFill>
    </x:fill>
    <x:fill>
      <x:patternFill patternType="solid">
        <x:fgColor rgb="FF00FF00"/>
      </x:patternFill>
    </x:fill>
    <x:fill>
      <x:patternFill patternType="solid">
        <x:fgColor rgb="FF000000"/>
      </x:patternFill>
    </x:fill>
  </x:fills>
  <x:borders count="1">
    <x:border/>
  </x:borders>
  <x:cellStyleXfs count="1">
    <x:xf numFmtId="0" fontId="0" fillId="0" borderId="0" applyFont="1" applyAlignment="1"/>
  </x:cellStyleXfs>
  <x:cellXfs count="109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right"/>
    </x:xf>
    <x:xf numFmtId="0" fontId="1" fillId="0" borderId="0" xfId="0" applyFont="1"/>
    <x:xf numFmtId="0" fontId="1" fillId="2" borderId="0" xfId="0" applyFont="1" applyFill="1" applyAlignment="1">
      <x:alignment horizontal="center"/>
    </x:xf>
    <x:xf numFmtId="0" fontId="2" fillId="0" borderId="0" xfId="0" applyFont="1" applyAlignment="1">
      <x:alignment horizontal="center"/>
    </x:xf>
    <x:xf numFmtId="164" fontId="1" fillId="0" borderId="0" xfId="0" applyNumberFormat="1" applyFont="1" applyAlignment="1"/>
    <x:xf numFmtId="0" fontId="2" fillId="0" borderId="0" xfId="0" applyFont="1" applyAlignment="1"/>
    <x:xf numFmtId="0" fontId="2" fillId="0" borderId="0" xfId="0" applyFont="1"/>
    <x:xf numFmtId="165" fontId="2" fillId="0" borderId="0" xfId="0" applyNumberFormat="1" applyFont="1"/>
    <x:xf numFmtId="164" fontId="1" fillId="2" borderId="0" xfId="0" applyNumberFormat="1" applyFont="1" applyAlignment="1"/>
    <x:xf numFmtId="10" fontId="3" fillId="2" borderId="0" xfId="0" applyNumberFormat="1" applyFont="1" applyAlignment="1">
      <x:alignment horizontal="center"/>
    </x:xf>
    <x:xf numFmtId="2" fontId="3" fillId="2" borderId="0" xfId="0" applyNumberFormat="1" applyFont="1" applyAlignment="1">
      <x:alignment horizontal="center"/>
    </x:xf>
    <x:xf numFmtId="2" fontId="3" fillId="2" borderId="0" xfId="0" applyNumberFormat="1" applyFont="1" applyAlignment="1">
      <x:alignment horizontal="center"/>
    </x:xf>
    <x:xf numFmtId="0" fontId="3" fillId="2" borderId="0" xfId="0" applyFont="1" applyAlignment="1">
      <x:alignment horizontal="center"/>
    </x:xf>
    <x:xf numFmtId="1" fontId="3" fillId="2" borderId="0" xfId="0" applyNumberFormat="1" applyFont="1" applyAlignment="1">
      <x:alignment horizontal="center"/>
    </x:xf>
    <x:xf numFmtId="165" fontId="3" fillId="2" borderId="0" xfId="0" applyNumberFormat="1" applyFont="1" applyAlignment="1">
      <x:alignment horizontal="center"/>
    </x:xf>
    <x:xf numFmtId="0" fontId="2" fillId="3" borderId="0" xfId="0" applyFont="1" applyFill="1" applyAlignment="1"/>
    <x:xf numFmtId="165" fontId="2" fillId="3" borderId="0" xfId="0" applyNumberFormat="1" applyFont="1"/>
    <x:xf numFmtId="0" fontId="2" fillId="4" borderId="0" xfId="0" applyFont="1" applyFill="1" applyAlignment="1"/>
    <x:xf numFmtId="10" fontId="2" fillId="3" borderId="0" xfId="0" applyNumberFormat="1" applyFont="1" applyAlignment="1">
      <x:alignment horizontal="center"/>
    </x:xf>
    <x:xf numFmtId="4" fontId="2" fillId="3" borderId="0" xfId="0" applyNumberFormat="1" applyFont="1" applyAlignment="1">
      <x:alignment horizontal="center"/>
    </x:xf>
    <x:xf numFmtId="10" fontId="2" fillId="0" borderId="0" xfId="0" applyNumberFormat="1" applyFont="1" applyAlignment="1">
      <x:alignment horizontal="center"/>
    </x:xf>
    <x:xf numFmtId="4" fontId="2" fillId="3" borderId="0" xfId="0" applyNumberFormat="1" applyFont="1" applyAlignment="1">
      <x:alignment horizontal="center"/>
    </x:xf>
    <x:xf numFmtId="0" fontId="2" fillId="3" borderId="0" xfId="0" applyFont="1" applyAlignment="1">
      <x:alignment horizontal="center"/>
    </x:xf>
    <x:xf numFmtId="4" fontId="2" fillId="4" borderId="0" xfId="0" applyNumberFormat="1" applyFont="1" applyAlignment="1">
      <x:alignment horizontal="center"/>
    </x:xf>
    <x:xf numFmtId="3" fontId="2" fillId="3" borderId="0" xfId="0" applyNumberFormat="1" applyFont="1" applyAlignment="1">
      <x:alignment horizontal="center"/>
    </x:xf>
    <x:xf numFmtId="0" fontId="2" fillId="3" borderId="0" xfId="0" applyFont="1" applyAlignment="1">
      <x:alignment horizontal="center"/>
    </x:xf>
    <x:xf numFmtId="2" fontId="2" fillId="3" borderId="0" xfId="0" applyNumberFormat="1" applyFont="1" applyAlignment="1">
      <x:alignment horizontal="center"/>
    </x:xf>
    <x:xf numFmtId="4" fontId="2" fillId="0" borderId="0" xfId="0" applyNumberFormat="1" applyFont="1" applyAlignment="1">
      <x:alignment horizontal="center"/>
    </x:xf>
    <x:xf numFmtId="0" fontId="2" fillId="3" borderId="0" xfId="0" applyFont="1"/>
    <x:xf numFmtId="0" fontId="2" fillId="0" borderId="0" xfId="0" applyFont="1" applyAlignment="1">
      <x:alignment horizontal="center"/>
    </x:xf>
    <x:xf numFmtId="3" fontId="2" fillId="0" borderId="0" xfId="0" applyNumberFormat="1" applyFont="1" applyAlignment="1">
      <x:alignment horizontal="center"/>
    </x:xf>
    <x:xf numFmtId="2" fontId="2" fillId="0" borderId="0" xfId="0" applyNumberFormat="1" applyFont="1" applyAlignment="1">
      <x:alignment horizontal="center"/>
    </x:xf>
    <x:xf numFmtId="4" fontId="2" fillId="0" borderId="0" xfId="0" applyNumberFormat="1" applyFont="1" applyAlignment="1">
      <x:alignment horizontal="center"/>
    </x:xf>
    <x:xf numFmtId="3" fontId="2" fillId="4" borderId="0" xfId="0" applyNumberFormat="1" applyFont="1" applyAlignment="1">
      <x:alignment horizontal="center"/>
    </x:xf>
    <x:xf numFmtId="10" fontId="2" fillId="3" borderId="0" xfId="0" applyNumberFormat="1" applyFont="1" applyAlignment="1">
      <x:alignment horizontal="center"/>
    </x:xf>
    <x:xf numFmtId="10" fontId="2" fillId="0" borderId="0" xfId="0" applyNumberFormat="1" applyFont="1" applyAlignment="1">
      <x:alignment horizontal="center"/>
    </x:xf>
    <x:xf numFmtId="4" fontId="2" fillId="3" borderId="0" xfId="0" applyNumberFormat="1" applyFont="1"/>
    <x:xf numFmtId="2" fontId="2" fillId="4" borderId="0" xfId="0" applyNumberFormat="1" applyFont="1" applyAlignment="1">
      <x:alignment horizontal="center"/>
    </x:xf>
    <x:xf numFmtId="4" fontId="2" fillId="0" borderId="0" xfId="0" applyNumberFormat="1" applyFont="1"/>
    <x:xf numFmtId="165" fontId="2" fillId="4" borderId="0" xfId="0" applyNumberFormat="1" applyFont="1"/>
    <x:xf numFmtId="165" fontId="2" fillId="4" borderId="0" xfId="0" applyNumberFormat="1" applyFont="1" applyAlignment="1">
      <x:alignment horizontal="center"/>
    </x:xf>
    <x:xf numFmtId="165" fontId="2" fillId="0" borderId="0" xfId="0" applyNumberFormat="1" applyFont="1" applyAlignment="1">
      <x:alignment horizontal="center"/>
    </x:xf>
    <x:xf numFmtId="0" fontId="4" fillId="5" borderId="0" xfId="0" applyFont="1" applyFill="1" applyAlignment="1">
      <x:alignment vertical="center" wrapText="1"/>
    </x:xf>
    <x:xf numFmtId="0" fontId="2" fillId="0" borderId="0" xfId="0" applyFont="1" applyAlignment="1">
      <x:alignment vertical="center"/>
    </x:xf>
    <x:xf numFmtId="0" fontId="5" fillId="0" borderId="0" xfId="0" applyFont="1" applyAlignment="1">
      <x:alignment vertical="top" wrapText="1"/>
    </x:xf>
    <x:xf numFmtId="0" fontId="2" fillId="0" borderId="0" xfId="0" applyFont="1" applyAlignment="1">
      <x:alignment vertical="top"/>
    </x:xf>
    <x:xf numFmtId="4" fontId="2" fillId="4" borderId="0" xfId="0" applyNumberFormat="1" applyFont="1"/>
    <x:xf numFmtId="0" fontId="2" fillId="4" borderId="0" xfId="0" applyFont="1"/>
    <x:xf numFmtId="0" fontId="6" fillId="0" borderId="0" xfId="0" applyFont="1" applyAlignment="1">
      <x:alignment vertical="top" wrapText="1"/>
    </x:xf>
    <x:xf numFmtId="0" fontId="4" fillId="5" borderId="0" xfId="0" applyFont="1" applyAlignment="1">
      <x:alignment wrapText="1"/>
    </x:xf>
    <x:xf numFmtId="0" fontId="2" fillId="0" borderId="0" xfId="0" applyFont="1" applyAlignment="1">
      <x:alignment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164" fontId="1" fillId="0" borderId="0" xfId="0" applyNumberFormat="1" applyFont="1" applyFill="1" applyBorder="1"/>
    <x:xf numFmtId="0" fontId="2" fillId="0" borderId="0" xfId="0" applyNumberFormat="1" applyFont="1" applyFill="1" applyBorder="1"/>
    <x:xf numFmtId="165" fontId="2" fillId="0" borderId="0" xfId="0" applyNumberFormat="1" applyFont="1" applyFill="1" applyBorder="1"/>
    <x:xf numFmtId="164" fontId="1" fillId="2" borderId="0" xfId="0" applyNumberFormat="1" applyFont="1" applyFill="1" applyBorder="1"/>
    <x:xf numFmtId="10" fontId="3" fillId="2" borderId="0" xfId="0" applyNumberFormat="1" applyFont="1" applyFill="1" applyBorder="1" applyAlignment="1">
      <x:alignment horizontal="center"/>
    </x:xf>
    <x:xf numFmtId="2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1" fontId="3" fillId="2" borderId="0" xfId="0" applyNumberFormat="1" applyFont="1" applyFill="1" applyBorder="1" applyAlignment="1">
      <x:alignment horizontal="center"/>
    </x:xf>
    <x:xf numFmtId="165" fontId="3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/>
    <x:xf numFmtId="165" fontId="2" fillId="3" borderId="0" xfId="0" applyNumberFormat="1" applyFont="1" applyFill="1" applyBorder="1"/>
    <x:xf numFmtId="0" fontId="2" fillId="4" borderId="0" xfId="0" applyNumberFormat="1" applyFont="1" applyFill="1" applyBorder="1"/>
    <x:xf numFmtId="10" fontId="2" fillId="3" borderId="0" xfId="0" applyNumberFormat="1" applyFont="1" applyFill="1" applyBorder="1" applyAlignment="1">
      <x:alignment horizontal="center"/>
    </x:xf>
    <x:xf numFmtId="4" fontId="2" fillId="3" borderId="0" xfId="0" applyNumberFormat="1" applyFont="1" applyFill="1" applyBorder="1" applyAlignment="1">
      <x:alignment horizontal="center"/>
    </x:xf>
    <x:xf numFmtId="10" fontId="2" fillId="0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/>
    </x:xf>
    <x:xf numFmtId="4" fontId="2" fillId="4" borderId="0" xfId="0" applyNumberFormat="1" applyFont="1" applyFill="1" applyBorder="1" applyAlignment="1">
      <x:alignment horizontal="center"/>
    </x:xf>
    <x:xf numFmtId="3" fontId="2" fillId="3" borderId="0" xfId="0" applyNumberFormat="1" applyFont="1" applyFill="1" applyBorder="1" applyAlignment="1">
      <x:alignment horizontal="center"/>
    </x:xf>
    <x:xf numFmtId="2" fontId="2" fillId="3" borderId="0" xfId="0" applyNumberFormat="1" applyFont="1" applyFill="1" applyBorder="1" applyAlignment="1">
      <x:alignment horizontal="center"/>
    </x:xf>
    <x:xf numFmtId="4" fontId="2" fillId="0" borderId="0" xfId="0" applyNumberFormat="1" applyFont="1" applyFill="1" applyBorder="1" applyAlignment="1">
      <x:alignment horizontal="center"/>
    </x:xf>
    <x:xf numFmtId="3" fontId="2" fillId="0" borderId="0" xfId="0" applyNumberFormat="1" applyFont="1" applyFill="1" applyBorder="1" applyAlignment="1">
      <x:alignment horizontal="center"/>
    </x:xf>
    <x:xf numFmtId="2" fontId="2" fillId="0" borderId="0" xfId="0" applyNumberFormat="1" applyFont="1" applyFill="1" applyBorder="1" applyAlignment="1">
      <x:alignment horizontal="center"/>
    </x:xf>
    <x:xf numFmtId="3" fontId="2" fillId="4" borderId="0" xfId="0" applyNumberFormat="1" applyFont="1" applyFill="1" applyBorder="1" applyAlignment="1">
      <x:alignment horizontal="center"/>
    </x:xf>
    <x:xf numFmtId="4" fontId="2" fillId="3" borderId="0" xfId="0" applyNumberFormat="1" applyFont="1" applyFill="1" applyBorder="1"/>
    <x:xf numFmtId="2" fontId="2" fillId="4" borderId="0" xfId="0" applyNumberFormat="1" applyFont="1" applyFill="1" applyBorder="1" applyAlignment="1">
      <x:alignment horizontal="center"/>
    </x:xf>
    <x:xf numFmtId="4" fontId="2" fillId="0" borderId="0" xfId="0" applyNumberFormat="1" applyFont="1" applyFill="1" applyBorder="1"/>
    <x:xf numFmtId="165" fontId="2" fillId="4" borderId="0" xfId="0" applyNumberFormat="1" applyFont="1" applyFill="1" applyBorder="1"/>
    <x:xf numFmtId="165" fontId="2" fillId="4" borderId="0" xfId="0" applyNumberFormat="1" applyFont="1" applyFill="1" applyBorder="1" applyAlignment="1">
      <x:alignment horizontal="center"/>
    </x:xf>
    <x:xf numFmtId="165" fontId="2" fillId="0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/>
    </x:xf>
    <x:xf numFmtId="4" fontId="2" fillId="4" borderId="0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3" fillId="2" borderId="0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vertical="bottom" wrapText="0"/>
    </x:xf>
    <x:xf numFmtId="201" fontId="3" fillId="2" borderId="0" xfId="0" applyNumberFormat="1" applyFont="1" applyFill="1" applyBorder="1" applyAlignment="1">
      <x:alignment horizontal="center"/>
    </x:xf>
    <x:xf numFmtId="201" fontId="2" fillId="4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vertical="bottom" wrapText="0"/>
    </x:xf>
    <x:xf numFmtId="201" fontId="2" fillId="0" borderId="0" xfId="0" applyNumberFormat="1" applyFont="1" applyFill="1" applyBorder="1"/>
    <x:xf numFmtId="201" fontId="2" fillId="4" borderId="0" xfId="0" applyNumberFormat="1" applyFont="1" applyFill="1" applyBorder="1"/>
    <x:xf numFmtId="202" fontId="3" fillId="2" borderId="0" xfId="0" applyNumberFormat="1" applyFont="1" applyFill="1" applyBorder="1" applyAlignment="1">
      <x:alignment horizontal="center"/>
    </x:xf>
    <x:xf numFmtId="202" fontId="2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7152bdaf4b43b3" /><Relationship Type="http://schemas.openxmlformats.org/officeDocument/2006/relationships/theme" Target="/xl/theme/theme1.xml" Id="Rcb3f53777596467d" /><Relationship Type="http://schemas.openxmlformats.org/officeDocument/2006/relationships/sharedStrings" Target="/xl/sharedStrings.xml" Id="R906841948800474d" /><Relationship Type="http://schemas.openxmlformats.org/officeDocument/2006/relationships/worksheet" Target="/xl/worksheets/sheet1.xml" Id="R3c240dfe05e4447f" /><Relationship Type="http://schemas.openxmlformats.org/officeDocument/2006/relationships/worksheet" Target="/xl/worksheets/sheet2.xml" Id="Ra80115efef5540ad" /><Relationship Type="http://schemas.openxmlformats.org/officeDocument/2006/relationships/worksheet" Target="/xl/worksheets/sheet3.xml" Id="R9b70098e899045c8" /><Relationship Type="http://schemas.openxmlformats.org/officeDocument/2006/relationships/worksheet" Target="/xl/worksheets/sheet4.xml" Id="R9afd722b756b431c" /><Relationship Type="http://schemas.openxmlformats.org/officeDocument/2006/relationships/worksheet" Target="/xl/worksheets/sheet5.xml" Id="R1a7d5e37c6c3402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3" max="4" width="21.1299991607666" customWidth="1"/>
    <x:col min="5" max="5" width="14.130000114440918" customWidth="1"/>
    <x:col min="6" max="6" width="7" customWidth="1"/>
    <x:col min="7" max="7" width="8.25" customWidth="1"/>
    <x:col min="8" max="8" width="8.5" customWidth="1"/>
    <x:col min="9" max="9" width="16.75" customWidth="1"/>
    <x:col min="10" max="10" width="13.880000114440918" customWidth="1"/>
    <x:col min="11" max="11" width="21.1299991607666" customWidth="1"/>
    <x:col min="12" max="12" width="22.3799991607666" customWidth="1"/>
    <x:col min="13" max="14" width="21.1299991607666" customWidth="1"/>
    <x:col min="22" max="22" width="16" customWidth="1"/>
  </x:cols>
  <x:sheetData>
    <x:row r="2">
      <x:c r="O2" s="1" t="s">
        <x:v>0</x:v>
      </x:c>
    </x:row>
    <x:row r="3">
      <x:c r="A3" s="4"/>
      <x:c r="B3" s="1" t="s">
        <x:v>1</x:v>
      </x:c>
      <x:c r="C3" s="1" t="s">
        <x:v>2</x:v>
      </x:c>
      <x:c r="D3" s="1" t="s">
        <x:v>3</x:v>
      </x:c>
      <x:c r="E3" s="5" t="s">
        <x:v>4</x:v>
      </x:c>
      <x:c r="F3" s="5" t="s">
        <x:v>5</x:v>
      </x:c>
      <x:c r="G3" s="5" t="s">
        <x:v>6</x:v>
      </x:c>
      <x:c r="H3" s="5" t="s">
        <x:v>7</x:v>
      </x:c>
      <x:c r="I3" s="5" t="s">
        <x:v>8</x:v>
      </x:c>
      <x:c r="J3" s="5" t="s">
        <x:v>9</x:v>
      </x:c>
      <x:c r="K3" s="5" t="s">
        <x:v>10</x:v>
      </x:c>
      <x:c r="L3" s="5" t="s">
        <x:v>11</x:v>
      </x:c>
      <x:c r="M3" s="5" t="s">
        <x:v>12</x:v>
      </x:c>
      <x:c r="N3" s="1" t="s">
        <x:v>13</x:v>
      </x:c>
      <x:c r="O3" s="7">
        <x:v>44927.0</x:v>
      </x:c>
      <x:c r="P3" s="7">
        <x:v>44958.0</x:v>
      </x:c>
      <x:c r="Q3" s="7">
        <x:v>44986.0</x:v>
      </x:c>
      <x:c r="R3" s="7">
        <x:v>45017.0</x:v>
      </x:c>
      <x:c r="S3" s="7">
        <x:v>45047.0</x:v>
      </x:c>
      <x:c r="T3" s="7">
        <x:v>45078.0</x:v>
      </x:c>
      <x:c r="U3" s="11">
        <x:v>45108.0</x:v>
      </x:c>
      <x:c r="V3" s="11" t="s">
        <x:v>14</x:v>
      </x:c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</x:row>
    <x:row r="4">
      <x:c r="B4" s="8" t="s">
        <x:v>15</x:v>
      </x:c>
      <x:c r="C4" s="10">
        <x:v>3249.0</x:v>
      </x:c>
      <x:c r="D4" s="9">
        <x:v>9.0</x:v>
      </x:c>
      <x:c r="E4" s="97" t="n">
        <x:v>0.95</x:v>
      </x:c>
      <x:c r="F4" s="100" t="n">
        <x:f t="shared" ref="F4:F6" si="1">AVERAGE(R4:T4)</x:f>
        <x:v>123.33333333333333</x:v>
      </x:c>
      <x:c r="G4" s="100" t="n">
        <x:f t="shared" ref="G4:G6" si="2">STDEV(R4:T4)</x:f>
        <x:v>28.307831660749525</x:v>
      </x:c>
      <x:c r="H4" s="100" t="n">
        <x:f>IF(E4=0.95,1.65,IF(E4=0.9,1.28,""))</x:f>
        <x:v>1.65</x:v>
      </x:c>
      <x:c r="I4" s="106" t="n">
        <x:v>2</x:v>
      </x:c>
      <x:c r="J4" s="100" t="n">
        <x:f t="shared" ref="J4:J6" si="3">H4*G4*SQRT(I4)</x:f>
        <x:v>66.05497710241067</x:v>
      </x:c>
      <x:c r="K4" s="100" t="n">
        <x:f>N4+J4</x:f>
        <x:v>97.05497710241067</x:v>
      </x:c>
      <x:c r="L4" s="100" t="n">
        <x:f>K4*D4</x:f>
        <x:v>873.4947939216961</x:v>
      </x:c>
      <x:c r="M4" s="106" t="n">
        <x:f>ROUNDUP(L4/'WH DATA'!$C$2,0)</x:f>
        <x:v>21</x:v>
      </x:c>
      <x:c r="N4" s="9">
        <x:v>31.0</x:v>
      </x:c>
      <x:c r="O4" s="9">
        <x:v>74.0</x:v>
      </x:c>
      <x:c r="P4" s="9">
        <x:v>114.0</x:v>
      </x:c>
      <x:c r="Q4" s="9">
        <x:v>174.0</x:v>
      </x:c>
      <x:c r="R4" s="9">
        <x:v>156.0</x:v>
      </x:c>
      <x:c r="S4" s="9">
        <x:v>108.0</x:v>
      </x:c>
      <x:c r="T4" s="9">
        <x:v>106.0</x:v>
      </x:c>
      <x:c r="U4" s="13" t="n">
        <x:f>average(O4:T4)</x:f>
        <x:v>122</x:v>
      </x:c>
      <x:c r="V4" s="17" t="n">
        <x:f>U4*6*C4</x:f>
        <x:v>2378268</x:v>
      </x:c>
    </x:row>
    <x:row r="5">
      <x:c r="B5" s="20" t="s">
        <x:v>16</x:v>
      </x:c>
      <x:c r="C5" s="10">
        <x:v>7217.0</x:v>
      </x:c>
      <x:c r="D5" s="9">
        <x:v>1.0</x:v>
      </x:c>
      <x:c r="E5" s="98" t="n">
        <x:v>0.95</x:v>
      </x:c>
      <x:c r="F5" s="101" t="n">
        <x:f t="shared" si="1">AVERAGE(R5:T5)</x:f>
        <x:v>77.33333333333333</x:v>
      </x:c>
      <x:c r="G5" s="101" t="n">
        <x:f t="shared" si="2">STDEV(R5:T5)</x:f>
        <x:v>87.96211305632292</x:v>
      </x:c>
      <x:c r="H5" s="102" t="n">
        <x:f>IF(E5=0.95,1.65,IF(E5=0.9,1.28,""))</x:f>
        <x:v>1.65</x:v>
      </x:c>
      <x:c r="I5" s="107" t="n">
        <x:v>2</x:v>
      </x:c>
      <x:c r="J5" s="102" t="n">
        <x:f t="shared" si="3">H5*G5*SQRT(I5)</x:f>
        <x:v>205.25540187775815</x:v>
      </x:c>
      <x:c r="K5" s="102" t="n">
        <x:f>N5+J5</x:f>
        <x:v>327.2554018777581</x:v>
      </x:c>
      <x:c r="L5" s="102" t="n">
        <x:f>K5*D5</x:f>
        <x:v>327.2554018777581</x:v>
      </x:c>
      <x:c r="M5" s="108" t="n">
        <x:f>ROUNDUP(L5/'WH DATA'!$C$2,0)</x:f>
        <x:v>8</x:v>
      </x:c>
      <x:c r="N5" s="9">
        <x:v>122.0</x:v>
      </x:c>
      <x:c r="O5" s="9">
        <x:v>115.0</x:v>
      </x:c>
      <x:c r="P5" s="9">
        <x:v>117.0</x:v>
      </x:c>
      <x:c r="Q5" s="9">
        <x:v>58.0</x:v>
      </x:c>
      <x:c r="R5" s="9">
        <x:v>56.0</x:v>
      </x:c>
      <x:c r="S5" s="9">
        <x:v>2.0</x:v>
      </x:c>
      <x:c r="T5" s="9">
        <x:v>174.0</x:v>
      </x:c>
      <x:c r="U5" s="34"/>
      <x:c r="V5" s="6"/>
    </x:row>
    <x:row r="6">
      <x:c r="B6" s="20" t="s">
        <x:v>17</x:v>
      </x:c>
      <x:c r="C6" s="10">
        <x:v>4873.0</x:v>
      </x:c>
      <x:c r="D6" s="9">
        <x:v>4.0</x:v>
      </x:c>
      <x:c r="E6" s="98" t="n">
        <x:v>0.95</x:v>
      </x:c>
      <x:c r="F6" s="102" t="n">
        <x:f t="shared" si="1">AVERAGE(R6:T6)</x:f>
        <x:v>142</x:v>
      </x:c>
      <x:c r="G6" s="102" t="n">
        <x:f t="shared" si="2">STDEV(R6:T6)</x:f>
        <x:v>46.16275555033516</x:v>
      </x:c>
      <x:c r="H6" s="102" t="n">
        <x:f>IF(E6=0.95,1.65,IF(E6=0.9,1.28,""))</x:f>
        <x:v>1.65</x:v>
      </x:c>
      <x:c r="I6" s="107" t="n">
        <x:v>2</x:v>
      </x:c>
      <x:c r="J6" s="101" t="n">
        <x:f t="shared" si="3">H6*G6*SQRT(I6)</x:f>
        <x:v>107.71859171006646</x:v>
      </x:c>
      <x:c r="K6" s="102" t="n">
        <x:f>N6+J6</x:f>
        <x:v>253.71859171006645</x:v>
      </x:c>
      <x:c r="L6" s="102" t="n">
        <x:f>K6*D6</x:f>
        <x:v>1014.8743668402658</x:v>
      </x:c>
      <x:c r="M6" s="108" t="n">
        <x:f>ROUNDUP(L6/'WH DATA'!$C$2,0)</x:f>
        <x:v>25</x:v>
      </x:c>
      <x:c r="N6" s="9">
        <x:v>146.0</x:v>
      </x:c>
      <x:c r="O6" s="9">
        <x:v>102.0</x:v>
      </x:c>
      <x:c r="P6" s="9">
        <x:v>77.0</x:v>
      </x:c>
      <x:c r="Q6" s="9">
        <x:v>140.0</x:v>
      </x:c>
      <x:c r="R6" s="9">
        <x:v>192.0</x:v>
      </x:c>
      <x:c r="S6" s="9">
        <x:v>133.0</x:v>
      </x:c>
      <x:c r="T6" s="9">
        <x:v>101.0</x:v>
      </x:c>
      <x:c r="U6" s="34"/>
      <x:c r="V6" s="6"/>
    </x:row>
    <x:row r="7">
      <x:c r="B7" s="8" t="s">
        <x:v>18</x:v>
      </x:c>
      <x:c r="C7" s="10">
        <x:v>4994.0</x:v>
      </x:c>
      <x:c r="D7" s="9">
        <x:v>9.0</x:v>
      </x:c>
      <x:c r="E7" s="98" t="n">
        <x:v>0.95</x:v>
      </x:c>
      <x:c r="F7" s="102" t="n">
        <x:f>AVERAGE(R7:T7)</x:f>
        <x:v>148</x:v>
      </x:c>
      <x:c r="G7" s="102" t="n">
        <x:f>STDEV(R7:T7)</x:f>
        <x:v>39.1279950930277</x:v>
      </x:c>
      <x:c r="H7" s="102" t="n">
        <x:f>IF(E7=0.95,1.65,IF(E7=0.9,1.28,""))</x:f>
        <x:v>1.65</x:v>
      </x:c>
      <x:c r="I7" s="107" t="n">
        <x:v>2</x:v>
      </x:c>
      <x:c r="J7" s="102" t="n">
        <x:f>H7*G7*SQRT(I7)</x:f>
        <x:v>91.30331319289567</x:v>
      </x:c>
      <x:c r="K7" s="102" t="n">
        <x:f>N7+J7</x:f>
        <x:v>152.30331319289567</x:v>
      </x:c>
      <x:c r="L7" s="102" t="n">
        <x:f>K7*D7</x:f>
        <x:v>1370.7298187360611</x:v>
      </x:c>
      <x:c r="M7" s="108" t="n">
        <x:f>ROUNDUP(L7/'WH DATA'!$C$2,0)</x:f>
        <x:v>33</x:v>
      </x:c>
      <x:c r="N7" s="9">
        <x:v>61.0</x:v>
      </x:c>
      <x:c r="O7" s="9">
        <x:v>116.0</x:v>
      </x:c>
      <x:c r="P7" s="9">
        <x:v>10.0</x:v>
      </x:c>
      <x:c r="Q7" s="9">
        <x:v>59.0</x:v>
      </x:c>
      <x:c r="R7" s="9">
        <x:v>167.0</x:v>
      </x:c>
      <x:c r="S7" s="9">
        <x:v>174.0</x:v>
      </x:c>
      <x:c r="T7" s="9">
        <x:v>103.0</x:v>
      </x:c>
      <x:c r="U7" s="34"/>
      <x:c r="V7" s="6"/>
    </x:row>
    <x:row r="8">
      <x:c r="B8" s="20" t="s">
        <x:v>19</x:v>
      </x:c>
      <x:c r="C8" s="10">
        <x:v>6773.0</x:v>
      </x:c>
      <x:c r="D8" s="9">
        <x:v>2.0</x:v>
      </x:c>
      <x:c r="E8" s="98" t="n">
        <x:v>0.95</x:v>
      </x:c>
      <x:c r="F8" s="102" t="n">
        <x:f>AVERAGE(R8:T8)</x:f>
        <x:v>55</x:v>
      </x:c>
      <x:c r="G8" s="102" t="n">
        <x:f>STDEV(R8:T8)</x:f>
        <x:v>70.66116330771806</x:v>
      </x:c>
      <x:c r="H8" s="102" t="n">
        <x:f>IF(E8=0.95,1.65,IF(E8=0.9,1.28,""))</x:f>
        <x:v>1.65</x:v>
      </x:c>
      <x:c r="I8" s="107" t="n">
        <x:v>2</x:v>
      </x:c>
      <x:c r="J8" s="102" t="n">
        <x:f>H8*G8*SQRT(I8)</x:f>
        <x:v>164.88445954667773</x:v>
      </x:c>
      <x:c r="K8" s="102" t="n">
        <x:f>N8+J8</x:f>
        <x:v>320.8844595466777</x:v>
      </x:c>
      <x:c r="L8" s="101" t="n">
        <x:f>K8*D8</x:f>
        <x:v>641.7689190933554</x:v>
      </x:c>
      <x:c r="M8" s="108" t="n">
        <x:f>ROUNDUP(L8/'WH DATA'!$C$2,0)</x:f>
        <x:v>16</x:v>
      </x:c>
      <x:c r="N8" s="9">
        <x:v>156.0</x:v>
      </x:c>
      <x:c r="O8" s="9">
        <x:v>83.0</x:v>
      </x:c>
      <x:c r="P8" s="9">
        <x:v>33.0</x:v>
      </x:c>
      <x:c r="Q8" s="9">
        <x:v>160.0</x:v>
      </x:c>
      <x:c r="R8" s="9">
        <x:v>136.0</x:v>
      </x:c>
      <x:c r="S8" s="9">
        <x:v>6.0</x:v>
      </x:c>
      <x:c r="T8" s="9">
        <x:v>23.0</x:v>
      </x:c>
      <x:c r="U8" s="34"/>
      <x:c r="V8" s="6"/>
    </x:row>
    <x:row r="9">
      <x:c r="B9" s="8" t="s">
        <x:v>20</x:v>
      </x:c>
      <x:c r="C9" s="10">
        <x:v>6076.0</x:v>
      </x:c>
      <x:c r="D9" s="9">
        <x:v>8.0</x:v>
      </x:c>
      <x:c r="E9" s="99" t="n">
        <x:v>0.95</x:v>
      </x:c>
      <x:c r="F9" s="103" t="n">
        <x:f>AVERAGE(R9:T9)</x:f>
        <x:v>95.33333333333333</x:v>
      </x:c>
      <x:c r="G9" s="104" t="n">
        <x:f>STDEV(R9:T9)</x:f>
        <x:v>61.905842481411504</x:v>
      </x:c>
      <x:c r="H9" s="103" t="n">
        <x:f>IF(E9=0.95,1.65,IF(E9=0.9,1.28,""))</x:f>
        <x:v>1.65</x:v>
      </x:c>
      <x:c r="I9" s="108" t="n">
        <x:v>2</x:v>
      </x:c>
      <x:c r="J9" s="103" t="n">
        <x:f>H9*G9*SQRT(I9)</x:f>
        <x:v>144.45433534511866</x:v>
      </x:c>
      <x:c r="K9" s="103" t="n">
        <x:f>N9+J9</x:f>
        <x:v>305.4543353451187</x:v>
      </x:c>
      <x:c r="L9" s="103" t="n">
        <x:f>K9*D9</x:f>
        <x:v>2443.6346827609495</x:v>
      </x:c>
      <x:c r="M9" s="108" t="n">
        <x:f>ROUNDUP(L9/'WH DATA'!$C$2,0)</x:f>
        <x:v>59</x:v>
      </x:c>
      <x:c r="N9" s="9">
        <x:v>161.0</x:v>
      </x:c>
      <x:c r="O9" s="9">
        <x:v>128.0</x:v>
      </x:c>
      <x:c r="P9" s="9">
        <x:v>131.0</x:v>
      </x:c>
      <x:c r="Q9" s="9">
        <x:v>198.0</x:v>
      </x:c>
      <x:c r="R9" s="9">
        <x:v>127.0</x:v>
      </x:c>
      <x:c r="S9" s="9">
        <x:v>24.0</x:v>
      </x:c>
      <x:c r="T9" s="9">
        <x:v>135.0</x:v>
      </x:c>
      <x:c r="U9" s="34"/>
      <x:c r="V9" s="6"/>
    </x:row>
    <x:row r="10">
      <x:c r="B10" s="20" t="s">
        <x:v>21</x:v>
      </x:c>
      <x:c r="C10" s="42">
        <x:v>7636.0</x:v>
      </x:c>
      <x:c r="D10" s="9">
        <x:v>5.0</x:v>
      </x:c>
      <x:c r="E10" s="99" t="n">
        <x:v>0.95</x:v>
      </x:c>
      <x:c r="F10" s="103" t="n">
        <x:f>AVERAGE(R10:T10)</x:f>
        <x:v>99</x:v>
      </x:c>
      <x:c r="G10" s="103" t="n">
        <x:f>STDEV(R10:T10)</x:f>
        <x:v>84.85870609430714</x:v>
      </x:c>
      <x:c r="H10" s="103" t="n">
        <x:f>IF(E10=0.95,1.65,IF(E10=0.9,1.28,""))</x:f>
        <x:v>1.65</x:v>
      </x:c>
      <x:c r="I10" s="108" t="n">
        <x:v>2</x:v>
      </x:c>
      <x:c r="J10" s="103" t="n">
        <x:f>H10*G10*SQRT(I10)</x:f>
        <x:v>198.01374952260258</x:v>
      </x:c>
      <x:c r="K10" s="103" t="n">
        <x:f>N10+J10</x:f>
        <x:v>379.01374952260255</x:v>
      </x:c>
      <x:c r="L10" s="103" t="n">
        <x:f>K10*D10</x:f>
        <x:v>1895.0687476130129</x:v>
      </x:c>
      <x:c r="M10" s="108" t="n">
        <x:f>ROUNDUP(L10/'WH DATA'!$C$2,0)</x:f>
        <x:v>46</x:v>
      </x:c>
      <x:c r="N10" s="9">
        <x:v>181.0</x:v>
      </x:c>
      <x:c r="O10" s="9">
        <x:v>25.0</x:v>
      </x:c>
      <x:c r="P10" s="9">
        <x:v>162.0</x:v>
      </x:c>
      <x:c r="Q10" s="9">
        <x:v>85.0</x:v>
      </x:c>
      <x:c r="R10" s="9">
        <x:v>179.0</x:v>
      </x:c>
      <x:c r="S10" s="9">
        <x:v>10.0</x:v>
      </x:c>
      <x:c r="T10" s="9">
        <x:v>108.0</x:v>
      </x:c>
      <x:c r="U10" s="40" t="n">
        <x:f>AVERAGE(O10:T10)</x:f>
        <x:v>94.83333333333333</x:v>
      </x:c>
      <x:c r="V10" s="43" t="n">
        <x:f>U10*6*C10</x:f>
        <x:v>4344884</x:v>
      </x:c>
    </x:row>
    <x:row r="11">
      <x:c r="B11" s="8" t="s">
        <x:v>22</x:v>
      </x:c>
      <x:c r="C11" s="10">
        <x:v>2458.0</x:v>
      </x:c>
      <x:c r="D11" s="9">
        <x:v>5.0</x:v>
      </x:c>
      <x:c r="E11" s="99" t="n">
        <x:v>0.95</x:v>
      </x:c>
      <x:c r="F11" s="103" t="n">
        <x:f>AVERAGE(R11:T11)</x:f>
        <x:v>146.33333333333334</x:v>
      </x:c>
      <x:c r="G11" s="103" t="n">
        <x:f>STDEV(R11:T11)</x:f>
        <x:v>14.364307617610162</x:v>
      </x:c>
      <x:c r="H11" s="103" t="n">
        <x:f>IF(E11=0.95,1.65,IF(E11=0.9,1.28,""))</x:f>
        <x:v>1.65</x:v>
      </x:c>
      <x:c r="I11" s="108" t="n">
        <x:v>2</x:v>
      </x:c>
      <x:c r="J11" s="103" t="n">
        <x:f>H11*G11*SQRT(I11)</x:f>
        <x:v>33.5184277674237</x:v>
      </x:c>
      <x:c r="K11" s="103" t="n">
        <x:f>N11+J11</x:f>
        <x:v>208.5184277674237</x:v>
      </x:c>
      <x:c r="L11" s="103" t="n">
        <x:f>K11*D11</x:f>
        <x:v>1042.5921388371185</x:v>
      </x:c>
      <x:c r="M11" s="108" t="n">
        <x:f>ROUNDUP(L11/'WH DATA'!$C$2,0)</x:f>
        <x:v>25</x:v>
      </x:c>
      <x:c r="N11" s="9">
        <x:v>175.0</x:v>
      </x:c>
      <x:c r="O11" s="9">
        <x:v>139.0</x:v>
      </x:c>
      <x:c r="P11" s="9">
        <x:v>61.0</x:v>
      </x:c>
      <x:c r="Q11" s="9">
        <x:v>164.0</x:v>
      </x:c>
      <x:c r="R11" s="9">
        <x:v>157.0</x:v>
      </x:c>
      <x:c r="S11" s="9">
        <x:v>152.0</x:v>
      </x:c>
      <x:c r="T11" s="9">
        <x:v>130.0</x:v>
      </x:c>
      <x:c r="U11" s="34"/>
      <x:c r="V11" s="6"/>
    </x:row>
    <x:row r="12">
      <x:c r="B12" s="8" t="s">
        <x:v>23</x:v>
      </x:c>
      <x:c r="C12" s="10">
        <x:v>1577.0</x:v>
      </x:c>
      <x:c r="D12" s="9">
        <x:v>12.0</x:v>
      </x:c>
      <x:c r="E12" s="99" t="n">
        <x:v>0.95</x:v>
      </x:c>
      <x:c r="F12" s="103" t="n">
        <x:f>AVERAGE(R12:T12)</x:f>
        <x:v>79.66666666666667</x:v>
      </x:c>
      <x:c r="G12" s="103" t="n">
        <x:f>STDEV(R12:T12)</x:f>
        <x:v>52.01281893277207</x:v>
      </x:c>
      <x:c r="H12" s="103" t="n">
        <x:f>IF(E12=0.95,1.65,IF(E12=0.9,1.28,""))</x:f>
        <x:v>1.65</x:v>
      </x:c>
      <x:c r="I12" s="108" t="n">
        <x:v>2</x:v>
      </x:c>
      <x:c r="J12" s="103" t="n">
        <x:f>H12*G12*SQRT(I12)</x:f>
        <x:v>121.36943602077089</x:v>
      </x:c>
      <x:c r="K12" s="103" t="n">
        <x:f>N12+J12</x:f>
        <x:v>253.36943602077088</x:v>
      </x:c>
      <x:c r="L12" s="103" t="n">
        <x:f>K12*D12</x:f>
        <x:v>3040.4332322492505</x:v>
      </x:c>
      <x:c r="M12" s="108" t="n">
        <x:f>ROUNDUP(L12/'WH DATA'!$C$2,0)</x:f>
        <x:v>73</x:v>
      </x:c>
      <x:c r="N12" s="9">
        <x:v>132.0</x:v>
      </x:c>
      <x:c r="O12" s="9">
        <x:v>117.0</x:v>
      </x:c>
      <x:c r="P12" s="9">
        <x:v>132.0</x:v>
      </x:c>
      <x:c r="Q12" s="9">
        <x:v>123.0</x:v>
      </x:c>
      <x:c r="R12" s="9">
        <x:v>27.0</x:v>
      </x:c>
      <x:c r="S12" s="9">
        <x:v>131.0</x:v>
      </x:c>
      <x:c r="T12" s="9">
        <x:v>81.0</x:v>
      </x:c>
      <x:c r="U12" s="34" t="n">
        <x:f>AVERAGE(O12:T12)</x:f>
        <x:v>101.83333333333333</x:v>
      </x:c>
      <x:c r="V12" s="44" t="n">
        <x:f>U12*6*C12</x:f>
        <x:v>963547</x:v>
      </x:c>
    </x:row>
    <x:row r="13">
      <x:c r="B13" s="8" t="s">
        <x:v>24</x:v>
      </x:c>
      <x:c r="C13" s="10">
        <x:v>2070.0</x:v>
      </x:c>
      <x:c r="D13" s="9">
        <x:v>5.0</x:v>
      </x:c>
      <x:c r="E13" s="99" t="n">
        <x:v>0.95</x:v>
      </x:c>
      <x:c r="F13" s="103" t="n">
        <x:f>AVERAGE(R13:T13)</x:f>
        <x:v>53.333333333333336</x:v>
      </x:c>
      <x:c r="G13" s="103" t="n">
        <x:f>STDEV(R13:T13)</x:f>
        <x:v>37.634204300520736</x:v>
      </x:c>
      <x:c r="H13" s="103" t="n">
        <x:f>IF(E13=0.95,1.65,IF(E13=0.9,1.28,""))</x:f>
        <x:v>1.65</x:v>
      </x:c>
      <x:c r="I13" s="108" t="n">
        <x:v>2</x:v>
      </x:c>
      <x:c r="J13" s="103" t="n">
        <x:f>H13*G13*SQRT(I13)</x:f>
        <x:v>87.81762351601186</x:v>
      </x:c>
      <x:c r="K13" s="103" t="n">
        <x:f>N13+J13</x:f>
        <x:v>108.81762351601186</x:v>
      </x:c>
      <x:c r="L13" s="103" t="n">
        <x:f>K13*D13</x:f>
        <x:v>544.0881175800594</x:v>
      </x:c>
      <x:c r="M13" s="108" t="n">
        <x:f>ROUNDUP(L13/'WH DATA'!$C$2,0)</x:f>
        <x:v>13</x:v>
      </x:c>
      <x:c r="N13" s="9">
        <x:v>21.0</x:v>
      </x:c>
      <x:c r="O13" s="9">
        <x:v>184.0</x:v>
      </x:c>
      <x:c r="P13" s="9">
        <x:v>50.0</x:v>
      </x:c>
      <x:c r="Q13" s="9">
        <x:v>58.0</x:v>
      </x:c>
      <x:c r="R13" s="9">
        <x:v>89.0</x:v>
      </x:c>
      <x:c r="S13" s="9">
        <x:v>57.0</x:v>
      </x:c>
      <x:c r="T13" s="9">
        <x:v>14.0</x:v>
      </x:c>
      <x:c r="U13" s="34"/>
      <x:c r="V13" s="6"/>
    </x:row>
    <x:row r="14">
      <x:c r="B14" s="8" t="s">
        <x:v>25</x:v>
      </x:c>
      <x:c r="C14" s="10">
        <x:v>1154.0</x:v>
      </x:c>
      <x:c r="D14" s="9">
        <x:v>11.0</x:v>
      </x:c>
      <x:c r="E14" s="99" t="n">
        <x:v>0.95</x:v>
      </x:c>
      <x:c r="F14" s="103" t="n">
        <x:f>AVERAGE(R14:T14)</x:f>
        <x:v>59</x:v>
      </x:c>
      <x:c r="G14" s="103" t="n">
        <x:f>STDEV(R14:T14)</x:f>
        <x:v>32.90896534380867</x:v>
      </x:c>
      <x:c r="H14" s="103" t="n">
        <x:f>IF(E14=0.95,1.65,IF(E14=0.9,1.28,""))</x:f>
        <x:v>1.65</x:v>
      </x:c>
      <x:c r="I14" s="108" t="n">
        <x:v>2</x:v>
      </x:c>
      <x:c r="J14" s="103" t="n">
        <x:f>H14*G14*SQRT(I14)</x:f>
        <x:v>76.79150343625263</x:v>
      </x:c>
      <x:c r="K14" s="103" t="n">
        <x:f>N14+J14</x:f>
        <x:v>242.79150343625264</x:v>
      </x:c>
      <x:c r="L14" s="103" t="n">
        <x:f>K14*D14</x:f>
        <x:v>2670.706537798779</x:v>
      </x:c>
      <x:c r="M14" s="108" t="n">
        <x:f>ROUNDUP(L14/'WH DATA'!$C$2,0)</x:f>
        <x:v>64</x:v>
      </x:c>
      <x:c r="N14" s="9">
        <x:v>166.0</x:v>
      </x:c>
      <x:c r="O14" s="9">
        <x:v>104.0</x:v>
      </x:c>
      <x:c r="P14" s="9">
        <x:v>1.0</x:v>
      </x:c>
      <x:c r="Q14" s="9">
        <x:v>2.0</x:v>
      </x:c>
      <x:c r="R14" s="9">
        <x:v>70.0</x:v>
      </x:c>
      <x:c r="S14" s="9">
        <x:v>22.0</x:v>
      </x:c>
      <x:c r="T14" s="9">
        <x:v>85.0</x:v>
      </x:c>
      <x:c r="U14" s="34"/>
      <x:c r="V14" s="6"/>
    </x:row>
    <x:row r="15">
      <x:c r="B15" s="8" t="s">
        <x:v>26</x:v>
      </x:c>
      <x:c r="C15" s="10">
        <x:v>8113.0</x:v>
      </x:c>
      <x:c r="D15" s="9">
        <x:v>3.0</x:v>
      </x:c>
      <x:c r="E15" s="99" t="n">
        <x:v>0.95</x:v>
      </x:c>
      <x:c r="F15" s="103" t="n">
        <x:f>AVERAGE(R15:T15)</x:f>
        <x:v>86.66666666666667</x:v>
      </x:c>
      <x:c r="G15" s="103" t="n">
        <x:f>STDEV(R15:T15)</x:f>
        <x:v>53.35103872778236</x:v>
      </x:c>
      <x:c r="H15" s="103" t="n">
        <x:f>IF(E15=0.95,1.65,IF(E15=0.9,1.28,""))</x:f>
        <x:v>1.65</x:v>
      </x:c>
      <x:c r="I15" s="108" t="n">
        <x:v>2</x:v>
      </x:c>
      <x:c r="J15" s="103" t="n">
        <x:f>H15*G15*SQRT(I15)</x:f>
        <x:v>124.49210818361138</x:v>
      </x:c>
      <x:c r="K15" s="103" t="n">
        <x:f>N15+J15</x:f>
        <x:v>247.49210818361138</x:v>
      </x:c>
      <x:c r="L15" s="103" t="n">
        <x:f>K15*D15</x:f>
        <x:v>742.4763245508341</x:v>
      </x:c>
      <x:c r="M15" s="108" t="n">
        <x:f>ROUNDUP(L15/'WH DATA'!$C$2,0)</x:f>
        <x:v>18</x:v>
      </x:c>
      <x:c r="N15" s="9">
        <x:v>123.0</x:v>
      </x:c>
      <x:c r="O15" s="9">
        <x:v>11.0</x:v>
      </x:c>
      <x:c r="P15" s="9">
        <x:v>165.0</x:v>
      </x:c>
      <x:c r="Q15" s="9">
        <x:v>141.0</x:v>
      </x:c>
      <x:c r="R15" s="9">
        <x:v>148.0</x:v>
      </x:c>
      <x:c r="S15" s="9">
        <x:v>61.0</x:v>
      </x:c>
      <x:c r="T15" s="9">
        <x:v>51.0</x:v>
      </x:c>
      <x:c r="U15" s="34"/>
      <x:c r="V15" s="6"/>
    </x:row>
    <x:row r="16">
      <x:c r="B16" s="8" t="s">
        <x:v>27</x:v>
      </x:c>
      <x:c r="C16" s="10">
        <x:v>2148.0</x:v>
      </x:c>
      <x:c r="D16" s="9">
        <x:v>5.0</x:v>
      </x:c>
      <x:c r="E16" s="99" t="n">
        <x:v>0.95</x:v>
      </x:c>
      <x:c r="F16" s="103" t="n">
        <x:f>AVERAGE(R16:T16)</x:f>
        <x:v>152</x:v>
      </x:c>
      <x:c r="G16" s="103" t="n">
        <x:f>STDEV(R16:T16)</x:f>
        <x:v>40.95119045888654</x:v>
      </x:c>
      <x:c r="H16" s="103" t="n">
        <x:f>IF(E16=0.95,1.65,IF(E16=0.9,1.28,""))</x:f>
        <x:v>1.65</x:v>
      </x:c>
      <x:c r="I16" s="108" t="n">
        <x:v>2</x:v>
      </x:c>
      <x:c r="J16" s="103" t="n">
        <x:f>H16*G16*SQRT(I16)</x:f>
        <x:v>95.55765275476372</x:v>
      </x:c>
      <x:c r="K16" s="103" t="n">
        <x:f>N16+J16</x:f>
        <x:v>217.55765275476372</x:v>
      </x:c>
      <x:c r="L16" s="103" t="n">
        <x:f>K16*D16</x:f>
        <x:v>1087.7882637738187</x:v>
      </x:c>
      <x:c r="M16" s="108" t="n">
        <x:f>ROUNDUP(L16/'WH DATA'!$C$2,0)</x:f>
        <x:v>26</x:v>
      </x:c>
      <x:c r="N16" s="9">
        <x:v>122.0</x:v>
      </x:c>
      <x:c r="O16" s="9">
        <x:v>84.0</x:v>
      </x:c>
      <x:c r="P16" s="9">
        <x:v>161.0</x:v>
      </x:c>
      <x:c r="Q16" s="9">
        <x:v>197.0</x:v>
      </x:c>
      <x:c r="R16" s="9">
        <x:v>145.0</x:v>
      </x:c>
      <x:c r="S16" s="9">
        <x:v>115.0</x:v>
      </x:c>
      <x:c r="T16" s="9">
        <x:v>196.0</x:v>
      </x:c>
      <x:c r="U16" s="34" t="n">
        <x:f>AVERAGE(O16:T16)</x:f>
        <x:v>149.66666666666666</x:v>
      </x:c>
      <x:c r="V16" s="44" t="n">
        <x:f>U16*6*C16</x:f>
        <x:v>1928904</x:v>
      </x:c>
    </x:row>
    <x:row r="17">
      <x:c r="B17" s="8" t="s">
        <x:v>28</x:v>
      </x:c>
      <x:c r="C17" s="10">
        <x:v>4681.0</x:v>
      </x:c>
      <x:c r="D17" s="9">
        <x:v>2.0</x:v>
      </x:c>
      <x:c r="E17" s="99" t="n">
        <x:v>0.95</x:v>
      </x:c>
      <x:c r="F17" s="103" t="n">
        <x:f>AVERAGE(R17:T17)</x:f>
        <x:v>73</x:v>
      </x:c>
      <x:c r="G17" s="103" t="n">
        <x:f>STDEV(R17:T17)</x:f>
        <x:v>75.47847375245475</x:v>
      </x:c>
      <x:c r="H17" s="103" t="n">
        <x:f>IF(E17=0.95,1.65,IF(E17=0.9,1.28,""))</x:f>
        <x:v>1.65</x:v>
      </x:c>
      <x:c r="I17" s="108" t="n">
        <x:v>2</x:v>
      </x:c>
      <x:c r="J17" s="103" t="n">
        <x:f>H17*G17*SQRT(I17)</x:f>
        <x:v>176.12542405910625</x:v>
      </x:c>
      <x:c r="K17" s="103" t="n">
        <x:f>N17+J17</x:f>
        <x:v>340.12542405910625</x:v>
      </x:c>
      <x:c r="L17" s="103" t="n">
        <x:f>K17*D17</x:f>
        <x:v>680.2508481182125</x:v>
      </x:c>
      <x:c r="M17" s="108" t="n">
        <x:f>ROUNDUP(L17/'WH DATA'!$C$2,0)</x:f>
        <x:v>17</x:v>
      </x:c>
      <x:c r="N17" s="9">
        <x:v>164.0</x:v>
      </x:c>
      <x:c r="O17" s="9">
        <x:v>20.0</x:v>
      </x:c>
      <x:c r="P17" s="9">
        <x:v>163.0</x:v>
      </x:c>
      <x:c r="Q17" s="9">
        <x:v>103.0</x:v>
      </x:c>
      <x:c r="R17" s="9">
        <x:v>160.0</x:v>
      </x:c>
      <x:c r="S17" s="9">
        <x:v>25.0</x:v>
      </x:c>
      <x:c r="T17" s="9">
        <x:v>34.0</x:v>
      </x:c>
    </x:row>
    <x:row r="18">
      <x:c r="B18" s="8" t="s">
        <x:v>29</x:v>
      </x:c>
      <x:c r="C18" s="10">
        <x:v>4260.0</x:v>
      </x:c>
      <x:c r="D18" s="9">
        <x:v>8.0</x:v>
      </x:c>
      <x:c r="E18" s="99" t="n">
        <x:v>0.95</x:v>
      </x:c>
      <x:c r="F18" s="103" t="n">
        <x:f>AVERAGE(R18:T18)</x:f>
        <x:v>112.33333333333333</x:v>
      </x:c>
      <x:c r="G18" s="103" t="n">
        <x:f>STDEV(R18:T18)</x:f>
        <x:v>78.23255929172542</x:v>
      </x:c>
      <x:c r="H18" s="103" t="n">
        <x:f>IF(E18=0.95,1.65,IF(E18=0.9,1.28,""))</x:f>
        <x:v>1.65</x:v>
      </x:c>
      <x:c r="I18" s="108" t="n">
        <x:v>2</x:v>
      </x:c>
      <x:c r="J18" s="103" t="n">
        <x:f>H18*G18*SQRT(I18)</x:f>
        <x:v>182.5519515097004</x:v>
      </x:c>
      <x:c r="K18" s="103" t="n">
        <x:f>N18+J18</x:f>
        <x:v>190.5519515097004</x:v>
      </x:c>
      <x:c r="L18" s="103" t="n">
        <x:f>K18*D18</x:f>
        <x:v>1524.415612077603</x:v>
      </x:c>
      <x:c r="M18" s="108" t="n">
        <x:f>ROUNDUP(L18/'WH DATA'!$C$2,0)</x:f>
        <x:v>37</x:v>
      </x:c>
      <x:c r="N18" s="9">
        <x:v>8.0</x:v>
      </x:c>
      <x:c r="O18" s="9">
        <x:v>122.0</x:v>
      </x:c>
      <x:c r="P18" s="9">
        <x:v>88.0</x:v>
      </x:c>
      <x:c r="Q18" s="9">
        <x:v>142.0</x:v>
      </x:c>
      <x:c r="R18" s="9">
        <x:v>158.0</x:v>
      </x:c>
      <x:c r="S18" s="9">
        <x:v>157.0</x:v>
      </x:c>
      <x:c r="T18" s="9">
        <x:v>22.0</x:v>
      </x:c>
    </x:row>
    <x:row r="19">
      <x:c r="B19" s="8" t="s">
        <x:v>30</x:v>
      </x:c>
      <x:c r="C19" s="10">
        <x:v>9255.0</x:v>
      </x:c>
      <x:c r="D19" s="9">
        <x:v>1.0</x:v>
      </x:c>
      <x:c r="E19" s="99" t="n">
        <x:v>0.95</x:v>
      </x:c>
      <x:c r="F19" s="103" t="n">
        <x:f>AVERAGE(R19:T19)</x:f>
        <x:v>62</x:v>
      </x:c>
      <x:c r="G19" s="103" t="n">
        <x:f>STDEV(R19:T19)</x:f>
        <x:v>38.57460304397182</x:v>
      </x:c>
      <x:c r="H19" s="103" t="n">
        <x:f>IF(E19=0.95,1.65,IF(E19=0.9,1.28,""))</x:f>
        <x:v>1.65</x:v>
      </x:c>
      <x:c r="I19" s="108" t="n">
        <x:v>2</x:v>
      </x:c>
      <x:c r="J19" s="103" t="n">
        <x:f>H19*G19*SQRT(I19)</x:f>
        <x:v>90.01199920010664</x:v>
      </x:c>
      <x:c r="K19" s="103" t="n">
        <x:f>N19+J19</x:f>
        <x:v>162.01199920010663</x:v>
      </x:c>
      <x:c r="L19" s="103" t="n">
        <x:f>K19*D19</x:f>
        <x:v>162.01199920010663</x:v>
      </x:c>
      <x:c r="M19" s="108" t="n">
        <x:f>ROUNDUP(L19/'WH DATA'!$C$2,0)</x:f>
        <x:v>4</x:v>
      </x:c>
      <x:c r="N19" s="9">
        <x:v>72.0</x:v>
      </x:c>
      <x:c r="O19" s="9">
        <x:v>141.0</x:v>
      </x:c>
      <x:c r="P19" s="9">
        <x:v>29.0</x:v>
      </x:c>
      <x:c r="Q19" s="9">
        <x:v>183.0</x:v>
      </x:c>
      <x:c r="R19" s="9">
        <x:v>106.0</x:v>
      </x:c>
      <x:c r="S19" s="9">
        <x:v>46.0</x:v>
      </x:c>
      <x:c r="T19" s="9">
        <x:v>34.0</x:v>
      </x:c>
    </x:row>
    <x:row r="20">
      <x:c r="B20" s="8" t="s">
        <x:v>31</x:v>
      </x:c>
      <x:c r="C20" s="10">
        <x:v>6796.0</x:v>
      </x:c>
      <x:c r="D20" s="9">
        <x:v>3.0</x:v>
      </x:c>
      <x:c r="E20" s="99" t="n">
        <x:v>0.95</x:v>
      </x:c>
      <x:c r="F20" s="103" t="n">
        <x:f>AVERAGE(R20:T20)</x:f>
        <x:v>141</x:v>
      </x:c>
      <x:c r="G20" s="103" t="n">
        <x:f>STDEV(R20:T20)</x:f>
        <x:v>35.53871128783372</x:v>
      </x:c>
      <x:c r="H20" s="103" t="n">
        <x:f>IF(E20=0.95,1.65,IF(E20=0.9,1.28,""))</x:f>
        <x:v>1.65</x:v>
      </x:c>
      <x:c r="I20" s="108" t="n">
        <x:v>2</x:v>
      </x:c>
      <x:c r="J20" s="103" t="n">
        <x:f>H20*G20*SQRT(I20)</x:f>
        <x:v>82.92789036265182</x:v>
      </x:c>
      <x:c r="K20" s="103" t="n">
        <x:f>N20+J20</x:f>
        <x:v>146.92789036265182</x:v>
      </x:c>
      <x:c r="L20" s="103" t="n">
        <x:f>K20*D20</x:f>
        <x:v>440.78367108795544</x:v>
      </x:c>
      <x:c r="M20" s="108" t="n">
        <x:f>ROUNDUP(L20/'WH DATA'!$C$2,0)</x:f>
        <x:v>11</x:v>
      </x:c>
      <x:c r="N20" s="9">
        <x:v>64.0</x:v>
      </x:c>
      <x:c r="O20" s="9">
        <x:v>63.0</x:v>
      </x:c>
      <x:c r="P20" s="9">
        <x:v>98.0</x:v>
      </x:c>
      <x:c r="Q20" s="9">
        <x:v>57.0</x:v>
      </x:c>
      <x:c r="R20" s="9">
        <x:v>163.0</x:v>
      </x:c>
      <x:c r="S20" s="9">
        <x:v>160.0</x:v>
      </x:c>
      <x:c r="T20" s="9">
        <x:v>100.0</x:v>
      </x:c>
    </x:row>
    <x:row r="21">
      <x:c r="B21" s="8" t="s">
        <x:v>32</x:v>
      </x:c>
      <x:c r="C21" s="10">
        <x:v>9938.0</x:v>
      </x:c>
      <x:c r="D21" s="9">
        <x:v>9.0</x:v>
      </x:c>
      <x:c r="E21" s="99" t="n">
        <x:v>0.95</x:v>
      </x:c>
      <x:c r="F21" s="103" t="n">
        <x:f>AVERAGE(R21:T21)</x:f>
        <x:v>56.666666666666664</x:v>
      </x:c>
      <x:c r="G21" s="103" t="n">
        <x:f>STDEV(R21:T21)</x:f>
        <x:v>55.590766619406615</x:v>
      </x:c>
      <x:c r="H21" s="103" t="n">
        <x:f>IF(E21=0.95,1.65,IF(E21=0.9,1.28,""))</x:f>
        <x:v>1.65</x:v>
      </x:c>
      <x:c r="I21" s="108" t="n">
        <x:v>2</x:v>
      </x:c>
      <x:c r="J21" s="103" t="n">
        <x:f>H21*G21*SQRT(I21)</x:f>
        <x:v>129.7184065582059</x:v>
      </x:c>
      <x:c r="K21" s="103" t="n">
        <x:f>N21+J21</x:f>
        <x:v>224.7184065582059</x:v>
      </x:c>
      <x:c r="L21" s="103" t="n">
        <x:f>K21*D21</x:f>
        <x:v>2022.4656590238533</x:v>
      </x:c>
      <x:c r="M21" s="108" t="n">
        <x:f>ROUNDUP(L21/'WH DATA'!$C$2,0)</x:f>
        <x:v>49</x:v>
      </x:c>
      <x:c r="N21" s="9">
        <x:v>95.0</x:v>
      </x:c>
      <x:c r="O21" s="9">
        <x:v>5.0</x:v>
      </x:c>
      <x:c r="P21" s="9">
        <x:v>196.0</x:v>
      </x:c>
      <x:c r="Q21" s="9">
        <x:v>197.0</x:v>
      </x:c>
      <x:c r="R21" s="9">
        <x:v>3.0</x:v>
      </x:c>
      <x:c r="S21" s="9">
        <x:v>53.0</x:v>
      </x:c>
      <x:c r="T21" s="9">
        <x:v>114.0</x:v>
      </x:c>
    </x:row>
    <x:row r="22">
      <x:c r="B22" s="8" t="s">
        <x:v>33</x:v>
      </x:c>
      <x:c r="C22" s="10">
        <x:v>2367.0</x:v>
      </x:c>
      <x:c r="D22" s="9">
        <x:v>11.0</x:v>
      </x:c>
      <x:c r="E22" s="99" t="n">
        <x:v>0.95</x:v>
      </x:c>
      <x:c r="F22" s="103" t="n">
        <x:f>AVERAGE(R22:T22)</x:f>
        <x:v>129.33333333333334</x:v>
      </x:c>
      <x:c r="G22" s="103" t="n">
        <x:f>STDEV(R22:T22)</x:f>
        <x:v>73.52777253074741</x:v>
      </x:c>
      <x:c r="H22" s="103" t="n">
        <x:f>IF(E22=0.95,1.65,IF(E22=0.9,1.28,""))</x:f>
        <x:v>1.65</x:v>
      </x:c>
      <x:c r="I22" s="108" t="n">
        <x:v>2</x:v>
      </x:c>
      <x:c r="J22" s="103" t="n">
        <x:f>H22*G22*SQRT(I22)</x:f>
        <x:v>171.5735556547104</x:v>
      </x:c>
      <x:c r="K22" s="103" t="n">
        <x:f>N22+J22</x:f>
        <x:v>199.5735556547104</x:v>
      </x:c>
      <x:c r="L22" s="103" t="n">
        <x:f>K22*D22</x:f>
        <x:v>2195.309112201814</x:v>
      </x:c>
      <x:c r="M22" s="108" t="n">
        <x:f>ROUNDUP(L22/'WH DATA'!$C$2,0)</x:f>
        <x:v>53</x:v>
      </x:c>
      <x:c r="N22" s="9">
        <x:v>28.0</x:v>
      </x:c>
      <x:c r="O22" s="9">
        <x:v>1.0</x:v>
      </x:c>
      <x:c r="P22" s="9">
        <x:v>98.0</x:v>
      </x:c>
      <x:c r="Q22" s="9">
        <x:v>116.0</x:v>
      </x:c>
      <x:c r="R22" s="9">
        <x:v>45.0</x:v>
      </x:c>
      <x:c r="S22" s="9">
        <x:v>180.0</x:v>
      </x:c>
      <x:c r="T22" s="9">
        <x:v>163.0</x:v>
      </x:c>
    </x:row>
    <x:row r="23">
      <x:c r="B23" s="8" t="s">
        <x:v>34</x:v>
      </x:c>
      <x:c r="C23" s="10">
        <x:v>1414.0</x:v>
      </x:c>
      <x:c r="D23" s="9">
        <x:v>6.0</x:v>
      </x:c>
      <x:c r="E23" s="99" t="n">
        <x:v>0.95</x:v>
      </x:c>
      <x:c r="F23" s="103" t="n">
        <x:f>AVERAGE(R23:T23)</x:f>
        <x:v>75.33333333333333</x:v>
      </x:c>
      <x:c r="G23" s="103" t="n">
        <x:f>STDEV(R23:T23)</x:f>
        <x:v>51.05226080530942</x:v>
      </x:c>
      <x:c r="H23" s="103" t="n">
        <x:f>IF(E23=0.95,1.65,IF(E23=0.9,1.28,""))</x:f>
        <x:v>1.65</x:v>
      </x:c>
      <x:c r="I23" s="108" t="n">
        <x:v>2</x:v>
      </x:c>
      <x:c r="J23" s="103" t="n">
        <x:f>H23*G23*SQRT(I23)</x:f>
        <x:v>119.128019374117</x:v>
      </x:c>
      <x:c r="K23" s="103" t="n">
        <x:f>N23+J23</x:f>
        <x:v>209.128019374117</x:v>
      </x:c>
      <x:c r="L23" s="103" t="n">
        <x:f>K23*D23</x:f>
        <x:v>1254.768116244702</x:v>
      </x:c>
      <x:c r="M23" s="108" t="n">
        <x:f>ROUNDUP(L23/'WH DATA'!$C$2,0)</x:f>
        <x:v>30</x:v>
      </x:c>
      <x:c r="N23" s="9">
        <x:v>90.0</x:v>
      </x:c>
      <x:c r="O23" s="9">
        <x:v>175.0</x:v>
      </x:c>
      <x:c r="P23" s="9">
        <x:v>1.0</x:v>
      </x:c>
      <x:c r="Q23" s="9">
        <x:v>195.0</x:v>
      </x:c>
      <x:c r="R23" s="9">
        <x:v>41.0</x:v>
      </x:c>
      <x:c r="S23" s="9">
        <x:v>134.0</x:v>
      </x:c>
      <x:c r="T23" s="9">
        <x:v>51.0</x:v>
      </x:c>
    </x:row>
    <x:row r="24">
      <x:c r="B24" s="8" t="s">
        <x:v>35</x:v>
      </x:c>
      <x:c r="C24" s="10">
        <x:v>4147.0</x:v>
      </x:c>
      <x:c r="D24" s="9">
        <x:v>1.0</x:v>
      </x:c>
      <x:c r="E24" s="99" t="n">
        <x:v>0.95</x:v>
      </x:c>
      <x:c r="F24" s="103" t="n">
        <x:f>AVERAGE(R24:T24)</x:f>
        <x:v>75</x:v>
      </x:c>
      <x:c r="G24" s="103" t="n">
        <x:f>STDEV(R24:T24)</x:f>
        <x:v>92.14662229295223</x:v>
      </x:c>
      <x:c r="H24" s="103" t="n">
        <x:f>IF(E24=0.95,1.65,IF(E24=0.9,1.28,""))</x:f>
        <x:v>1.65</x:v>
      </x:c>
      <x:c r="I24" s="108" t="n">
        <x:v>2</x:v>
      </x:c>
      <x:c r="J24" s="103" t="n">
        <x:f>H24*G24*SQRT(I24)</x:f>
        <x:v>215.01975490638065</x:v>
      </x:c>
      <x:c r="K24" s="103" t="n">
        <x:f>N24+J24</x:f>
        <x:v>380.0197549063806</x:v>
      </x:c>
      <x:c r="L24" s="103" t="n">
        <x:f>K24*D24</x:f>
        <x:v>380.0197549063806</x:v>
      </x:c>
      <x:c r="M24" s="108" t="n">
        <x:f>ROUNDUP(L24/'WH DATA'!$C$2,0)</x:f>
        <x:v>10</x:v>
      </x:c>
      <x:c r="N24" s="9">
        <x:v>165.0</x:v>
      </x:c>
      <x:c r="O24" s="9">
        <x:v>151.0</x:v>
      </x:c>
      <x:c r="P24" s="9">
        <x:v>183.0</x:v>
      </x:c>
      <x:c r="Q24" s="9">
        <x:v>117.0</x:v>
      </x:c>
      <x:c r="R24" s="9">
        <x:v>30.0</x:v>
      </x:c>
      <x:c r="S24" s="9">
        <x:v>181.0</x:v>
      </x:c>
      <x:c r="T24" s="9">
        <x:v>14.0</x:v>
      </x:c>
    </x:row>
    <x:row r="25">
      <x:c r="B25" s="8" t="s">
        <x:v>36</x:v>
      </x:c>
      <x:c r="C25" s="10">
        <x:v>6178.0</x:v>
      </x:c>
      <x:c r="D25" s="9">
        <x:v>5.0</x:v>
      </x:c>
      <x:c r="E25" s="99" t="n">
        <x:v>0.95</x:v>
      </x:c>
      <x:c r="F25" s="103" t="n">
        <x:f>AVERAGE(R25:T25)</x:f>
        <x:v>67</x:v>
      </x:c>
      <x:c r="G25" s="103" t="n">
        <x:f>STDEV(R25:T25)</x:f>
        <x:v>26.514147167125703</x:v>
      </x:c>
      <x:c r="H25" s="103" t="n">
        <x:f>IF(E25=0.95,1.65,IF(E25=0.9,1.28,""))</x:f>
        <x:v>1.65</x:v>
      </x:c>
      <x:c r="I25" s="108" t="n">
        <x:v>2</x:v>
      </x:c>
      <x:c r="J25" s="103" t="n">
        <x:f>H25*G25*SQRT(I25)</x:f>
        <x:v>61.869499755533816</x:v>
      </x:c>
      <x:c r="K25" s="103" t="n">
        <x:f>N25+J25</x:f>
        <x:v>196.8694997555338</x:v>
      </x:c>
      <x:c r="L25" s="103" t="n">
        <x:f>K25*D25</x:f>
        <x:v>984.347498777669</x:v>
      </x:c>
      <x:c r="M25" s="108" t="n">
        <x:f>ROUNDUP(L25/'WH DATA'!$C$2,0)</x:f>
        <x:v>24</x:v>
      </x:c>
      <x:c r="N25" s="9">
        <x:v>135.0</x:v>
      </x:c>
      <x:c r="O25" s="9">
        <x:v>5.0</x:v>
      </x:c>
      <x:c r="P25" s="9">
        <x:v>157.0</x:v>
      </x:c>
      <x:c r="Q25" s="9">
        <x:v>92.0</x:v>
      </x:c>
      <x:c r="R25" s="9">
        <x:v>90.0</x:v>
      </x:c>
      <x:c r="S25" s="9">
        <x:v>38.0</x:v>
      </x:c>
      <x:c r="T25" s="9">
        <x:v>73.0</x:v>
      </x:c>
    </x:row>
    <x:row r="26">
      <x:c r="B26" s="8" t="s">
        <x:v>37</x:v>
      </x:c>
      <x:c r="C26" s="10">
        <x:v>4490.0</x:v>
      </x:c>
      <x:c r="D26" s="9">
        <x:v>5.0</x:v>
      </x:c>
      <x:c r="E26" s="99" t="n">
        <x:v>0.95</x:v>
      </x:c>
      <x:c r="F26" s="103" t="n">
        <x:f>AVERAGE(R26:T26)</x:f>
        <x:v>70</x:v>
      </x:c>
      <x:c r="G26" s="103" t="n">
        <x:f>STDEV(R26:T26)</x:f>
        <x:v>45.044422518220834</x:v>
      </x:c>
      <x:c r="H26" s="103" t="n">
        <x:f>IF(E26=0.95,1.65,IF(E26=0.9,1.28,""))</x:f>
        <x:v>1.65</x:v>
      </x:c>
      <x:c r="I26" s="108" t="n">
        <x:v>2</x:v>
      </x:c>
      <x:c r="J26" s="103" t="n">
        <x:f>H26*G26*SQRT(I26)</x:f>
        <x:v>105.1090148369777</x:v>
      </x:c>
      <x:c r="K26" s="103" t="n">
        <x:f>N26+J26</x:f>
        <x:v>118.1090148369777</x:v>
      </x:c>
      <x:c r="L26" s="103" t="n">
        <x:f>K26*D26</x:f>
        <x:v>590.5450741848886</x:v>
      </x:c>
      <x:c r="M26" s="108" t="n">
        <x:f>ROUNDUP(L26/'WH DATA'!$C$2,0)</x:f>
        <x:v>15</x:v>
      </x:c>
      <x:c r="N26" s="9">
        <x:v>13.0</x:v>
      </x:c>
      <x:c r="O26" s="9">
        <x:v>35.0</x:v>
      </x:c>
      <x:c r="P26" s="9">
        <x:v>120.0</x:v>
      </x:c>
      <x:c r="Q26" s="9">
        <x:v>190.0</x:v>
      </x:c>
      <x:c r="R26" s="9">
        <x:v>45.0</x:v>
      </x:c>
      <x:c r="S26" s="9">
        <x:v>43.0</x:v>
      </x:c>
      <x:c r="T26" s="9">
        <x:v>122.0</x:v>
      </x:c>
    </x:row>
    <x:row r="27">
      <x:c r="B27" s="8" t="s">
        <x:v>38</x:v>
      </x:c>
      <x:c r="C27" s="10">
        <x:v>1993.0</x:v>
      </x:c>
      <x:c r="D27" s="9">
        <x:v>7.0</x:v>
      </x:c>
      <x:c r="E27" s="99" t="n">
        <x:v>0.95</x:v>
      </x:c>
      <x:c r="F27" s="103" t="n">
        <x:f>AVERAGE(R27:T27)</x:f>
        <x:v>88.66666666666667</x:v>
      </x:c>
      <x:c r="G27" s="103" t="n">
        <x:f>STDEV(R27:T27)</x:f>
        <x:v>82.50050504895916</x:v>
      </x:c>
      <x:c r="H27" s="103" t="n">
        <x:f>IF(E27=0.95,1.65,IF(E27=0.9,1.28,""))</x:f>
        <x:v>1.65</x:v>
      </x:c>
      <x:c r="I27" s="108" t="n">
        <x:v>2</x:v>
      </x:c>
      <x:c r="J27" s="103" t="n">
        <x:f>H27*G27*SQRT(I27)</x:f>
        <x:v>192.51099968573226</x:v>
      </x:c>
      <x:c r="K27" s="103" t="n">
        <x:f>N27+J27</x:f>
        <x:v>214.51099968573226</x:v>
      </x:c>
      <x:c r="L27" s="103" t="n">
        <x:f>K27*D27</x:f>
        <x:v>1501.5769978001258</x:v>
      </x:c>
      <x:c r="M27" s="108" t="n">
        <x:f>ROUNDUP(L27/'WH DATA'!$C$2,0)</x:f>
        <x:v>36</x:v>
      </x:c>
      <x:c r="N27" s="9">
        <x:v>22.0</x:v>
      </x:c>
      <x:c r="O27" s="9">
        <x:v>86.0</x:v>
      </x:c>
      <x:c r="P27" s="9">
        <x:v>44.0</x:v>
      </x:c>
      <x:c r="Q27" s="9">
        <x:v>54.0</x:v>
      </x:c>
      <x:c r="R27" s="9">
        <x:v>171.0</x:v>
      </x:c>
      <x:c r="S27" s="9">
        <x:v>89.0</x:v>
      </x:c>
      <x:c r="T27" s="9">
        <x:v>6.0</x:v>
      </x:c>
    </x:row>
    <x:row r="28">
      <x:c r="B28" s="20" t="s">
        <x:v>39</x:v>
      </x:c>
      <x:c r="C28" s="10">
        <x:v>1554.0</x:v>
      </x:c>
      <x:c r="D28" s="9">
        <x:v>12.0</x:v>
      </x:c>
      <x:c r="E28" s="99" t="n">
        <x:v>0.95</x:v>
      </x:c>
      <x:c r="F28" s="105" t="n">
        <x:f>AVERAGE(R28:T28)</x:f>
        <x:v>32.666666666666664</x:v>
      </x:c>
      <x:c r="G28" s="103" t="n">
        <x:f>STDEV(R28:T28)</x:f>
        <x:v>17.502380790433435</x:v>
      </x:c>
      <x:c r="H28" s="103" t="n">
        <x:f>IF(E28=0.95,1.65,IF(E28=0.9,1.28,""))</x:f>
        <x:v>1.65</x:v>
      </x:c>
      <x:c r="I28" s="108" t="n">
        <x:v>2</x:v>
      </x:c>
      <x:c r="J28" s="103" t="n">
        <x:f>H28*G28*SQRT(I28)</x:f>
        <x:v>40.840972074621334</x:v>
      </x:c>
      <x:c r="K28" s="103" t="n">
        <x:f>N28+J28</x:f>
        <x:v>173.84097207462133</x:v>
      </x:c>
      <x:c r="L28" s="103" t="n">
        <x:f>K28*D28</x:f>
        <x:v>2086.0916648954562</x:v>
      </x:c>
      <x:c r="M28" s="108" t="n">
        <x:f>ROUNDUP(L28/'WH DATA'!$C$2,0)</x:f>
        <x:v>50</x:v>
      </x:c>
      <x:c r="N28" s="50">
        <x:v>133.0</x:v>
      </x:c>
      <x:c r="O28" s="9">
        <x:v>158.0</x:v>
      </x:c>
      <x:c r="P28" s="9">
        <x:v>154.0</x:v>
      </x:c>
      <x:c r="Q28" s="9">
        <x:v>21.0</x:v>
      </x:c>
      <x:c r="R28" s="9">
        <x:v>50.0</x:v>
      </x:c>
      <x:c r="S28" s="9">
        <x:v>33.0</x:v>
      </x:c>
      <x:c r="T28" s="9">
        <x:v>15.0</x:v>
      </x:c>
    </x:row>
    <x:row r="29">
      <x:c r="B29" s="8" t="s">
        <x:v>40</x:v>
      </x:c>
      <x:c r="C29" s="10">
        <x:v>7948.0</x:v>
      </x:c>
      <x:c r="D29" s="9">
        <x:v>5.0</x:v>
      </x:c>
      <x:c r="E29" s="99" t="n">
        <x:v>0.95</x:v>
      </x:c>
      <x:c r="F29" s="103" t="n">
        <x:f>AVERAGE(R29:T29)</x:f>
        <x:v>116.33333333333333</x:v>
      </x:c>
      <x:c r="G29" s="103" t="n">
        <x:f>STDEV(R29:T29)</x:f>
        <x:v>76.13365440679524</x:v>
      </x:c>
      <x:c r="H29" s="103" t="n">
        <x:f>IF(E29=0.95,1.65,IF(E29=0.9,1.28,""))</x:f>
        <x:v>1.65</x:v>
      </x:c>
      <x:c r="I29" s="108" t="n">
        <x:v>2</x:v>
      </x:c>
      <x:c r="J29" s="103" t="n">
        <x:f>H29*G29*SQRT(I29)</x:f>
        <x:v>177.65425691494139</x:v>
      </x:c>
      <x:c r="K29" s="103" t="n">
        <x:f>N29+J29</x:f>
        <x:v>219.65425691494139</x:v>
      </x:c>
      <x:c r="L29" s="103" t="n">
        <x:f>K29*D29</x:f>
        <x:v>1098.271284574707</x:v>
      </x:c>
      <x:c r="M29" s="108" t="n">
        <x:f>ROUNDUP(L29/'WH DATA'!$C$2,0)</x:f>
        <x:v>27</x:v>
      </x:c>
      <x:c r="N29" s="9">
        <x:v>42.0</x:v>
      </x:c>
      <x:c r="O29" s="9">
        <x:v>161.0</x:v>
      </x:c>
      <x:c r="P29" s="9">
        <x:v>45.0</x:v>
      </x:c>
      <x:c r="Q29" s="9">
        <x:v>70.0</x:v>
      </x:c>
      <x:c r="R29" s="9">
        <x:v>32.0</x:v>
      </x:c>
      <x:c r="S29" s="9">
        <x:v>180.0</x:v>
      </x:c>
      <x:c r="T29" s="9">
        <x:v>137.0</x:v>
      </x:c>
    </x:row>
    <x:row r="30">
      <x:c r="B30" s="8" t="s">
        <x:v>41</x:v>
      </x:c>
      <x:c r="C30" s="10">
        <x:v>7746.0</x:v>
      </x:c>
      <x:c r="D30" s="9">
        <x:v>4.0</x:v>
      </x:c>
      <x:c r="E30" s="99" t="n">
        <x:v>0.95</x:v>
      </x:c>
      <x:c r="F30" s="103" t="n">
        <x:f>AVERAGE(R30:T30)</x:f>
        <x:v>97</x:v>
      </x:c>
      <x:c r="G30" s="103" t="n">
        <x:f>STDEV(R30:T30)</x:f>
        <x:v>93.18261640456336</x:v>
      </x:c>
      <x:c r="H30" s="103" t="n">
        <x:f>IF(E30=0.95,1.65,IF(E30=0.9,1.28,""))</x:f>
        <x:v>1.65</x:v>
      </x:c>
      <x:c r="I30" s="108" t="n">
        <x:v>2</x:v>
      </x:c>
      <x:c r="J30" s="103" t="n">
        <x:f>H30*G30*SQRT(I30)</x:f>
        <x:v>217.4371978296262</x:v>
      </x:c>
      <x:c r="K30" s="103" t="n">
        <x:f>N30+J30</x:f>
        <x:v>353.4371978296262</x:v>
      </x:c>
      <x:c r="L30" s="103" t="n">
        <x:f>K30*D30</x:f>
        <x:v>1413.7487913185048</x:v>
      </x:c>
      <x:c r="M30" s="108" t="n">
        <x:f>ROUNDUP(L30/'WH DATA'!$C$2,0)</x:f>
        <x:v>34</x:v>
      </x:c>
      <x:c r="N30" s="9">
        <x:v>136.0</x:v>
      </x:c>
      <x:c r="O30" s="9">
        <x:v>55.0</x:v>
      </x:c>
      <x:c r="P30" s="9">
        <x:v>174.0</x:v>
      </x:c>
      <x:c r="Q30" s="9">
        <x:v>75.0</x:v>
      </x:c>
      <x:c r="R30" s="9">
        <x:v>84.0</x:v>
      </x:c>
      <x:c r="S30" s="9">
        <x:v>196.0</x:v>
      </x:c>
      <x:c r="T30" s="9">
        <x:v>11.0</x:v>
      </x:c>
    </x:row>
    <x:row r="31">
      <x:c r="B31" s="8" t="s">
        <x:v>42</x:v>
      </x:c>
      <x:c r="C31" s="10">
        <x:v>6041.0</x:v>
      </x:c>
      <x:c r="D31" s="9">
        <x:v>9.0</x:v>
      </x:c>
      <x:c r="E31" s="99" t="n">
        <x:v>0.95</x:v>
      </x:c>
      <x:c r="F31" s="103" t="n">
        <x:f>AVERAGE(R31:T31)</x:f>
        <x:v>67</x:v>
      </x:c>
      <x:c r="G31" s="103" t="n">
        <x:f>STDEV(R31:T31)</x:f>
        <x:v>27.184554438136374</x:v>
      </x:c>
      <x:c r="H31" s="103" t="n">
        <x:f>IF(E31=0.95,1.65,IF(E31=0.9,1.28,""))</x:f>
        <x:v>1.65</x:v>
      </x:c>
      <x:c r="I31" s="108" t="n">
        <x:v>2</x:v>
      </x:c>
      <x:c r="J31" s="103" t="n">
        <x:f>H31*G31*SQRT(I31)</x:f>
        <x:v>63.43386319624558</x:v>
      </x:c>
      <x:c r="K31" s="103" t="n">
        <x:f>N31+J31</x:f>
        <x:v>247.43386319624557</x:v>
      </x:c>
      <x:c r="L31" s="103" t="n">
        <x:f>K31*D31</x:f>
        <x:v>2226.90476876621</x:v>
      </x:c>
      <x:c r="M31" s="108" t="n">
        <x:f>ROUNDUP(L31/'WH DATA'!$C$2,0)</x:f>
        <x:v>54</x:v>
      </x:c>
      <x:c r="N31" s="9">
        <x:v>184.0</x:v>
      </x:c>
      <x:c r="O31" s="9">
        <x:v>122.0</x:v>
      </x:c>
      <x:c r="P31" s="9">
        <x:v>170.0</x:v>
      </x:c>
      <x:c r="Q31" s="9">
        <x:v>28.0</x:v>
      </x:c>
      <x:c r="R31" s="9">
        <x:v>74.0</x:v>
      </x:c>
      <x:c r="S31" s="9">
        <x:v>90.0</x:v>
      </x:c>
      <x:c r="T31" s="9">
        <x:v>37.0</x:v>
      </x:c>
    </x:row>
    <x:row r="32">
      <x:c r="B32" s="8" t="s">
        <x:v>43</x:v>
      </x:c>
      <x:c r="C32" s="10">
        <x:v>2260.0</x:v>
      </x:c>
      <x:c r="D32" s="9">
        <x:v>7.0</x:v>
      </x:c>
      <x:c r="E32" s="99" t="n">
        <x:v>0.95</x:v>
      </x:c>
      <x:c r="F32" s="103" t="n">
        <x:f>AVERAGE(R32:T32)</x:f>
        <x:v>136.33333333333334</x:v>
      </x:c>
      <x:c r="G32" s="103" t="n">
        <x:f>STDEV(R32:T32)</x:f>
        <x:v>73.05021104235999</x:v>
      </x:c>
      <x:c r="H32" s="103" t="n">
        <x:f>IF(E32=0.95,1.65,IF(E32=0.9,1.28,""))</x:f>
        <x:v>1.65</x:v>
      </x:c>
      <x:c r="I32" s="108" t="n">
        <x:v>2</x:v>
      </x:c>
      <x:c r="J32" s="103" t="n">
        <x:f>H32*G32*SQRT(I32)</x:f>
        <x:v>170.45918866403184</x:v>
      </x:c>
      <x:c r="K32" s="103" t="n">
        <x:f>N32+J32</x:f>
        <x:v>170.45918866403184</x:v>
      </x:c>
      <x:c r="L32" s="103" t="n">
        <x:f>K32*D32</x:f>
        <x:v>1193.2143206482228</x:v>
      </x:c>
      <x:c r="M32" s="108" t="n">
        <x:f>ROUNDUP(L32/'WH DATA'!$C$2,0)</x:f>
        <x:v>29</x:v>
      </x:c>
      <x:c r="N32" s="9">
        <x:v>0.0</x:v>
      </x:c>
      <x:c r="O32" s="9">
        <x:v>72.0</x:v>
      </x:c>
      <x:c r="P32" s="9">
        <x:v>30.0</x:v>
      </x:c>
      <x:c r="Q32" s="9">
        <x:v>81.0</x:v>
      </x:c>
      <x:c r="R32" s="9">
        <x:v>180.0</x:v>
      </x:c>
      <x:c r="S32" s="9">
        <x:v>177.0</x:v>
      </x:c>
      <x:c r="T32" s="9">
        <x:v>52.0</x:v>
      </x:c>
    </x:row>
    <x:row r="33">
      <x:c r="B33" s="8" t="s">
        <x:v>44</x:v>
      </x:c>
      <x:c r="C33" s="10">
        <x:v>7561.0</x:v>
      </x:c>
      <x:c r="D33" s="9">
        <x:v>11.0</x:v>
      </x:c>
      <x:c r="E33" s="99" t="n">
        <x:v>0.95</x:v>
      </x:c>
      <x:c r="F33" s="103" t="n">
        <x:f>AVERAGE(R33:T33)</x:f>
        <x:v>122.33333333333333</x:v>
      </x:c>
      <x:c r="G33" s="103" t="n">
        <x:f>STDEV(R33:T33)</x:f>
        <x:v>93.2970167440167</x:v>
      </x:c>
      <x:c r="H33" s="103" t="n">
        <x:f>IF(E33=0.95,1.65,IF(E33=0.9,1.28,""))</x:f>
        <x:v>1.65</x:v>
      </x:c>
      <x:c r="I33" s="108" t="n">
        <x:v>2</x:v>
      </x:c>
      <x:c r="J33" s="103" t="n">
        <x:f>H33*G33*SQRT(I33)</x:f>
        <x:v>217.70414557375796</x:v>
      </x:c>
      <x:c r="K33" s="103" t="n">
        <x:f>N33+J33</x:f>
        <x:v>220.70414557375796</x:v>
      </x:c>
      <x:c r="L33" s="103" t="n">
        <x:f>K33*D33</x:f>
        <x:v>2427.7456013113374</x:v>
      </x:c>
      <x:c r="M33" s="108" t="n">
        <x:f>ROUNDUP(L33/'WH DATA'!$C$2,0)</x:f>
        <x:v>58</x:v>
      </x:c>
      <x:c r="N33" s="9">
        <x:v>3.0</x:v>
      </x:c>
      <x:c r="O33" s="9">
        <x:v>111.0</x:v>
      </x:c>
      <x:c r="P33" s="9">
        <x:v>76.0</x:v>
      </x:c>
      <x:c r="Q33" s="9">
        <x:v>169.0</x:v>
      </x:c>
      <x:c r="R33" s="9">
        <x:v>168.0</x:v>
      </x:c>
      <x:c r="S33" s="9">
        <x:v>15.0</x:v>
      </x:c>
      <x:c r="T33" s="9">
        <x:v>184.0</x:v>
      </x:c>
    </x:row>
    <x:row r="34">
      <x:c r="B34" s="8" t="s">
        <x:v>45</x:v>
      </x:c>
      <x:c r="C34" s="10">
        <x:v>4298.0</x:v>
      </x:c>
      <x:c r="D34" s="9">
        <x:v>12.0</x:v>
      </x:c>
      <x:c r="E34" s="99" t="n">
        <x:v>0.95</x:v>
      </x:c>
      <x:c r="F34" s="103" t="n">
        <x:f>AVERAGE(R34:T34)</x:f>
        <x:v>137</x:v>
      </x:c>
      <x:c r="G34" s="103" t="n">
        <x:f>STDEV(R34:T34)</x:f>
        <x:v>42.720018726587654</x:v>
      </x:c>
      <x:c r="H34" s="103" t="n">
        <x:f>IF(E34=0.95,1.65,IF(E34=0.9,1.28,""))</x:f>
        <x:v>1.65</x:v>
      </x:c>
      <x:c r="I34" s="108" t="n">
        <x:v>2</x:v>
      </x:c>
      <x:c r="J34" s="103" t="n">
        <x:f>H34*G34*SQRT(I34)</x:f>
        <x:v>99.68512928215522</x:v>
      </x:c>
      <x:c r="K34" s="103" t="n">
        <x:f>N34+J34</x:f>
        <x:v>272.68512928215523</x:v>
      </x:c>
      <x:c r="L34" s="103" t="n">
        <x:f>K34*D34</x:f>
        <x:v>3272.2215513858628</x:v>
      </x:c>
      <x:c r="M34" s="108" t="n">
        <x:f>ROUNDUP(L34/'WH DATA'!$C$2,0)</x:f>
        <x:v>78</x:v>
      </x:c>
      <x:c r="N34" s="9">
        <x:v>173.0</x:v>
      </x:c>
      <x:c r="O34" s="9">
        <x:v>10.0</x:v>
      </x:c>
      <x:c r="P34" s="9">
        <x:v>148.0</x:v>
      </x:c>
      <x:c r="Q34" s="9">
        <x:v>1.0</x:v>
      </x:c>
      <x:c r="R34" s="9">
        <x:v>177.0</x:v>
      </x:c>
      <x:c r="S34" s="9">
        <x:v>92.0</x:v>
      </x:c>
      <x:c r="T34" s="9">
        <x:v>142.0</x:v>
      </x:c>
    </x:row>
    <x:row r="35">
      <x:c r="B35" s="8" t="s">
        <x:v>46</x:v>
      </x:c>
      <x:c r="C35" s="10">
        <x:v>9726.0</x:v>
      </x:c>
      <x:c r="D35" s="9">
        <x:v>2.0</x:v>
      </x:c>
      <x:c r="E35" s="99" t="n">
        <x:v>0.95</x:v>
      </x:c>
      <x:c r="F35" s="103" t="n">
        <x:f>AVERAGE(R35:T35)</x:f>
        <x:v>121.66666666666667</x:v>
      </x:c>
      <x:c r="G35" s="103" t="n">
        <x:f>STDEV(R35:T35)</x:f>
        <x:v>28.571547618799602</x:v>
      </x:c>
      <x:c r="H35" s="103" t="n">
        <x:f>IF(E35=0.95,1.65,IF(E35=0.9,1.28,""))</x:f>
        <x:v>1.65</x:v>
      </x:c>
      <x:c r="I35" s="108" t="n">
        <x:v>2</x:v>
      </x:c>
      <x:c r="J35" s="103" t="n">
        <x:f>H35*G35*SQRT(I35)</x:f>
        <x:v>66.67034573181694</x:v>
      </x:c>
      <x:c r="K35" s="103" t="n">
        <x:f>N35+J35</x:f>
        <x:v>116.67034573181694</x:v>
      </x:c>
      <x:c r="L35" s="103" t="n">
        <x:f>K35*D35</x:f>
        <x:v>233.34069146363387</x:v>
      </x:c>
      <x:c r="M35" s="108" t="n">
        <x:f>ROUNDUP(L35/'WH DATA'!$C$2,0)</x:f>
        <x:v>6</x:v>
      </x:c>
      <x:c r="N35" s="9">
        <x:v>50.0</x:v>
      </x:c>
      <x:c r="O35" s="9">
        <x:v>185.0</x:v>
      </x:c>
      <x:c r="P35" s="9">
        <x:v>117.0</x:v>
      </x:c>
      <x:c r="Q35" s="9">
        <x:v>62.0</x:v>
      </x:c>
      <x:c r="R35" s="9">
        <x:v>149.0</x:v>
      </x:c>
      <x:c r="S35" s="9">
        <x:v>92.0</x:v>
      </x:c>
      <x:c r="T35" s="9">
        <x:v>124.0</x:v>
      </x:c>
    </x:row>
    <x:row r="36">
      <x:c r="B36" s="8" t="s">
        <x:v>47</x:v>
      </x:c>
      <x:c r="C36" s="10">
        <x:v>7591.0</x:v>
      </x:c>
      <x:c r="D36" s="9">
        <x:v>2.0</x:v>
      </x:c>
      <x:c r="E36" s="99" t="n">
        <x:v>0.95</x:v>
      </x:c>
      <x:c r="F36" s="103" t="n">
        <x:f>AVERAGE(R36:T36)</x:f>
        <x:v>44</x:v>
      </x:c>
      <x:c r="G36" s="103" t="n">
        <x:f>STDEV(R36:T36)</x:f>
        <x:v>50.92150822589606</x:v>
      </x:c>
      <x:c r="H36" s="103" t="n">
        <x:f>IF(E36=0.95,1.65,IF(E36=0.9,1.28,""))</x:f>
        <x:v>1.65</x:v>
      </x:c>
      <x:c r="I36" s="108" t="n">
        <x:v>2</x:v>
      </x:c>
      <x:c r="J36" s="103" t="n">
        <x:f>H36*G36*SQRT(I36)</x:f>
        <x:v>118.8229144567663</x:v>
      </x:c>
      <x:c r="K36" s="103" t="n">
        <x:f>N36+J36</x:f>
        <x:v>202.82291445676628</x:v>
      </x:c>
      <x:c r="L36" s="103" t="n">
        <x:f>K36*D36</x:f>
        <x:v>405.64582891353257</x:v>
      </x:c>
      <x:c r="M36" s="108" t="n">
        <x:f>ROUNDUP(L36/'WH DATA'!$C$2,0)</x:f>
        <x:v>10</x:v>
      </x:c>
      <x:c r="N36" s="9">
        <x:v>84.0</x:v>
      </x:c>
      <x:c r="O36" s="9">
        <x:v>110.0</x:v>
      </x:c>
      <x:c r="P36" s="9">
        <x:v>187.0</x:v>
      </x:c>
      <x:c r="Q36" s="9">
        <x:v>44.0</x:v>
      </x:c>
      <x:c r="R36" s="9">
        <x:v>101.0</x:v>
      </x:c>
      <x:c r="S36" s="9">
        <x:v>3.0</x:v>
      </x:c>
      <x:c r="T36" s="9">
        <x:v>28.0</x:v>
      </x:c>
    </x:row>
    <x:row r="37">
      <x:c r="B37" s="8" t="s">
        <x:v>48</x:v>
      </x:c>
      <x:c r="C37" s="10">
        <x:v>7113.0</x:v>
      </x:c>
      <x:c r="D37" s="9">
        <x:v>8.0</x:v>
      </x:c>
      <x:c r="E37" s="99" t="n">
        <x:v>0.95</x:v>
      </x:c>
      <x:c r="F37" s="103" t="n">
        <x:f>AVERAGE(R37:T37)</x:f>
        <x:v>150</x:v>
      </x:c>
      <x:c r="G37" s="103" t="n">
        <x:f>STDEV(R37:T37)</x:f>
        <x:v>35.156791662493895</x:v>
      </x:c>
      <x:c r="H37" s="103" t="n">
        <x:f>IF(E37=0.95,1.65,IF(E37=0.9,1.28,""))</x:f>
        <x:v>1.65</x:v>
      </x:c>
      <x:c r="I37" s="108" t="n">
        <x:v>2</x:v>
      </x:c>
      <x:c r="J37" s="103" t="n">
        <x:f>H37*G37*SQRT(I37)</x:f>
        <x:v>82.03669910472996</x:v>
      </x:c>
      <x:c r="K37" s="103" t="n">
        <x:f>N37+J37</x:f>
        <x:v>234.03669910472996</x:v>
      </x:c>
      <x:c r="L37" s="103" t="n">
        <x:f>K37*D37</x:f>
        <x:v>1872.2935928378397</x:v>
      </x:c>
      <x:c r="M37" s="108" t="n">
        <x:f>ROUNDUP(L37/'WH DATA'!$C$2,0)</x:f>
        <x:v>45</x:v>
      </x:c>
      <x:c r="N37" s="9">
        <x:v>152.0</x:v>
      </x:c>
      <x:c r="O37" s="9">
        <x:v>4.0</x:v>
      </x:c>
      <x:c r="P37" s="9">
        <x:v>8.0</x:v>
      </x:c>
      <x:c r="Q37" s="9">
        <x:v>28.0</x:v>
      </x:c>
      <x:c r="R37" s="9">
        <x:v>164.0</x:v>
      </x:c>
      <x:c r="S37" s="9">
        <x:v>110.0</x:v>
      </x:c>
      <x:c r="T37" s="9">
        <x:v>176.0</x:v>
      </x:c>
    </x:row>
    <x:row r="38">
      <x:c r="B38" s="8" t="s">
        <x:v>49</x:v>
      </x:c>
      <x:c r="C38" s="10">
        <x:v>3083.0</x:v>
      </x:c>
      <x:c r="D38" s="9">
        <x:v>9.0</x:v>
      </x:c>
      <x:c r="E38" s="99" t="n">
        <x:v>0.95</x:v>
      </x:c>
      <x:c r="F38" s="103" t="n">
        <x:f>AVERAGE(R38:T38)</x:f>
        <x:v>76</x:v>
      </x:c>
      <x:c r="G38" s="103" t="n">
        <x:f>STDEV(R38:T38)</x:f>
        <x:v>51.09794516416487</x:v>
      </x:c>
      <x:c r="H38" s="103" t="n">
        <x:f>IF(E38=0.95,1.65,IF(E38=0.9,1.28,""))</x:f>
        <x:v>1.65</x:v>
      </x:c>
      <x:c r="I38" s="108" t="n">
        <x:v>2</x:v>
      </x:c>
      <x:c r="J38" s="103" t="n">
        <x:f>H38*G38*SQRT(I38)</x:f>
        <x:v>119.23462164992179</x:v>
      </x:c>
      <x:c r="K38" s="103" t="n">
        <x:f>N38+J38</x:f>
        <x:v>182.2346216499218</x:v>
      </x:c>
      <x:c r="L38" s="103" t="n">
        <x:f>K38*D38</x:f>
        <x:v>1640.1115948492961</x:v>
      </x:c>
      <x:c r="M38" s="108" t="n">
        <x:f>ROUNDUP(L38/'WH DATA'!$C$2,0)</x:f>
        <x:v>40</x:v>
      </x:c>
      <x:c r="N38" s="9">
        <x:v>63.0</x:v>
      </x:c>
      <x:c r="O38" s="9">
        <x:v>73.0</x:v>
      </x:c>
      <x:c r="P38" s="9">
        <x:v>175.0</x:v>
      </x:c>
      <x:c r="Q38" s="9">
        <x:v>3.0</x:v>
      </x:c>
      <x:c r="R38" s="9">
        <x:v>106.0</x:v>
      </x:c>
      <x:c r="S38" s="9">
        <x:v>105.0</x:v>
      </x:c>
      <x:c r="T38" s="9">
        <x:v>17.0</x:v>
      </x:c>
    </x:row>
    <x:row r="39">
      <x:c r="B39" s="8" t="s">
        <x:v>50</x:v>
      </x:c>
      <x:c r="C39" s="10">
        <x:v>9299.0</x:v>
      </x:c>
      <x:c r="D39" s="9">
        <x:v>12.0</x:v>
      </x:c>
      <x:c r="E39" s="99" t="n">
        <x:v>0.95</x:v>
      </x:c>
      <x:c r="F39" s="103" t="n">
        <x:f>AVERAGE(R39:T39)</x:f>
        <x:v>144</x:v>
      </x:c>
      <x:c r="G39" s="103" t="n">
        <x:f>STDEV(R39:T39)</x:f>
        <x:v>66.4304147209695</x:v>
      </x:c>
      <x:c r="H39" s="103" t="n">
        <x:f>IF(E39=0.95,1.65,IF(E39=0.9,1.28,""))</x:f>
        <x:v>1.65</x:v>
      </x:c>
      <x:c r="I39" s="108" t="n">
        <x:v>2</x:v>
      </x:c>
      <x:c r="J39" s="103" t="n">
        <x:f>H39*G39*SQRT(I39)</x:f>
        <x:v>155.0122091965662</x:v>
      </x:c>
      <x:c r="K39" s="103" t="n">
        <x:f>N39+J39</x:f>
        <x:v>253.0122091965662</x:v>
      </x:c>
      <x:c r="L39" s="103" t="n">
        <x:f>K39*D39</x:f>
        <x:v>3036.1465103587943</x:v>
      </x:c>
      <x:c r="M39" s="108" t="n">
        <x:f>ROUNDUP(L39/'WH DATA'!$C$2,0)</x:f>
        <x:v>73</x:v>
      </x:c>
      <x:c r="N39" s="9">
        <x:v>98.0</x:v>
      </x:c>
      <x:c r="O39" s="9">
        <x:v>96.0</x:v>
      </x:c>
      <x:c r="P39" s="9">
        <x:v>94.0</x:v>
      </x:c>
      <x:c r="Q39" s="9">
        <x:v>135.0</x:v>
      </x:c>
      <x:c r="R39" s="9">
        <x:v>191.0</x:v>
      </x:c>
      <x:c r="S39" s="9">
        <x:v>68.0</x:v>
      </x:c>
      <x:c r="T39" s="9">
        <x:v>173.0</x:v>
      </x:c>
    </x:row>
    <x:row r="40">
      <x:c r="B40" s="8" t="s">
        <x:v>51</x:v>
      </x:c>
      <x:c r="C40" s="10">
        <x:v>7951.0</x:v>
      </x:c>
      <x:c r="D40" s="9">
        <x:v>9.0</x:v>
      </x:c>
      <x:c r="E40" s="99" t="n">
        <x:v>0.95</x:v>
      </x:c>
      <x:c r="F40" s="103" t="n">
        <x:f>AVERAGE(R40:T40)</x:f>
        <x:v>79.33333333333333</x:v>
      </x:c>
      <x:c r="G40" s="103" t="n">
        <x:f>STDEV(R40:T40)</x:f>
        <x:v>100.9471809083014</x:v>
      </x:c>
      <x:c r="H40" s="103" t="n">
        <x:f>IF(E40=0.95,1.65,IF(E40=0.9,1.28,""))</x:f>
        <x:v>1.65</x:v>
      </x:c>
      <x:c r="I40" s="108" t="n">
        <x:v>2</x:v>
      </x:c>
      <x:c r="J40" s="103" t="n">
        <x:f>H40*G40*SQRT(I40)</x:f>
        <x:v>235.55543933435288</x:v>
      </x:c>
      <x:c r="K40" s="103" t="n">
        <x:f>N40+J40</x:f>
        <x:v>419.55543933435285</x:v>
      </x:c>
      <x:c r="L40" s="103" t="n">
        <x:f>K40*D40</x:f>
        <x:v>3775.9989540091756</x:v>
      </x:c>
      <x:c r="M40" s="108" t="n">
        <x:f>ROUNDUP(L40/'WH DATA'!$C$2,0)</x:f>
        <x:v>90</x:v>
      </x:c>
      <x:c r="N40" s="9">
        <x:v>184.0</x:v>
      </x:c>
      <x:c r="O40" s="9">
        <x:v>18.0</x:v>
      </x:c>
      <x:c r="P40" s="9">
        <x:v>99.0</x:v>
      </x:c>
      <x:c r="Q40" s="9">
        <x:v>3.0</x:v>
      </x:c>
      <x:c r="R40" s="9">
        <x:v>9.0</x:v>
      </x:c>
      <x:c r="S40" s="9">
        <x:v>195.0</x:v>
      </x:c>
      <x:c r="T40" s="9">
        <x:v>34.0</x:v>
      </x:c>
    </x:row>
    <x:row r="41">
      <x:c r="B41" s="8" t="s">
        <x:v>52</x:v>
      </x:c>
      <x:c r="C41" s="10">
        <x:v>1277.0</x:v>
      </x:c>
      <x:c r="D41" s="9">
        <x:v>1.0</x:v>
      </x:c>
      <x:c r="E41" s="99" t="n">
        <x:v>0.95</x:v>
      </x:c>
      <x:c r="F41" s="103" t="n">
        <x:f>AVERAGE(R41:T41)</x:f>
        <x:v>119</x:v>
      </x:c>
      <x:c r="G41" s="103" t="n">
        <x:f>STDEV(R41:T41)</x:f>
        <x:v>54.616847217685496</x:v>
      </x:c>
      <x:c r="H41" s="103" t="n">
        <x:f>IF(E41=0.95,1.65,IF(E41=0.9,1.28,""))</x:f>
        <x:v>1.65</x:v>
      </x:c>
      <x:c r="I41" s="108" t="n">
        <x:v>2</x:v>
      </x:c>
      <x:c r="J41" s="103" t="n">
        <x:f>H41*G41*SQRT(I41)</x:f>
        <x:v>127.44581201436162</x:v>
      </x:c>
      <x:c r="K41" s="103" t="n">
        <x:f>N41+J41</x:f>
        <x:v>198.44581201436162</x:v>
      </x:c>
      <x:c r="L41" s="103" t="n">
        <x:f>K41*D41</x:f>
        <x:v>198.44581201436162</x:v>
      </x:c>
      <x:c r="M41" s="108" t="n">
        <x:f>ROUNDUP(L41/'WH DATA'!$C$2,0)</x:f>
        <x:v>5</x:v>
      </x:c>
      <x:c r="N41" s="9">
        <x:v>71.0</x:v>
      </x:c>
      <x:c r="O41" s="9">
        <x:v>35.0</x:v>
      </x:c>
      <x:c r="P41" s="9">
        <x:v>186.0</x:v>
      </x:c>
      <x:c r="Q41" s="9">
        <x:v>13.0</x:v>
      </x:c>
      <x:c r="R41" s="9">
        <x:v>98.0</x:v>
      </x:c>
      <x:c r="S41" s="9">
        <x:v>181.0</x:v>
      </x:c>
      <x:c r="T41" s="9">
        <x:v>78.0</x:v>
      </x:c>
    </x:row>
    <x:row r="42">
      <x:c r="B42" s="8" t="s">
        <x:v>53</x:v>
      </x:c>
      <x:c r="C42" s="10">
        <x:v>5592.0</x:v>
      </x:c>
      <x:c r="D42" s="9">
        <x:v>6.0</x:v>
      </x:c>
      <x:c r="E42" s="99" t="n">
        <x:v>0.95</x:v>
      </x:c>
      <x:c r="F42" s="103" t="n">
        <x:f>AVERAGE(R42:T42)</x:f>
        <x:v>156</x:v>
      </x:c>
      <x:c r="G42" s="103" t="n">
        <x:f>STDEV(R42:T42)</x:f>
        <x:v>32.92415526630866</x:v>
      </x:c>
      <x:c r="H42" s="103" t="n">
        <x:f>IF(E42=0.95,1.65,IF(E42=0.9,1.28,""))</x:f>
        <x:v>1.65</x:v>
      </x:c>
      <x:c r="I42" s="108" t="n">
        <x:v>2</x:v>
      </x:c>
      <x:c r="J42" s="103" t="n">
        <x:f>H42*G42*SQRT(I42)</x:f>
        <x:v>76.82694839703059</x:v>
      </x:c>
      <x:c r="K42" s="103" t="n">
        <x:f>N42+J42</x:f>
        <x:v>228.8269483970306</x:v>
      </x:c>
      <x:c r="L42" s="103" t="n">
        <x:f>K42*D42</x:f>
        <x:v>1372.9616903821836</x:v>
      </x:c>
      <x:c r="M42" s="108" t="n">
        <x:f>ROUNDUP(L42/'WH DATA'!$C$2,0)</x:f>
        <x:v>33</x:v>
      </x:c>
      <x:c r="N42" s="9">
        <x:v>152.0</x:v>
      </x:c>
      <x:c r="O42" s="9">
        <x:v>195.0</x:v>
      </x:c>
      <x:c r="P42" s="9">
        <x:v>118.0</x:v>
      </x:c>
      <x:c r="Q42" s="9">
        <x:v>60.0</x:v>
      </x:c>
      <x:c r="R42" s="9">
        <x:v>118.0</x:v>
      </x:c>
      <x:c r="S42" s="9">
        <x:v>174.0</x:v>
      </x:c>
      <x:c r="T42" s="9">
        <x:v>176.0</x:v>
      </x:c>
    </x:row>
    <x:row r="43">
      <x:c r="B43" s="8" t="s">
        <x:v>54</x:v>
      </x:c>
      <x:c r="C43" s="10">
        <x:v>4587.0</x:v>
      </x:c>
      <x:c r="D43" s="9">
        <x:v>5.0</x:v>
      </x:c>
      <x:c r="E43" s="99" t="n">
        <x:v>0.95</x:v>
      </x:c>
      <x:c r="F43" s="103" t="n">
        <x:f>AVERAGE(R43:T43)</x:f>
        <x:v>96.33333333333333</x:v>
      </x:c>
      <x:c r="G43" s="103" t="n">
        <x:f>STDEV(R43:T43)</x:f>
        <x:v>37.16629297271028</x:v>
      </x:c>
      <x:c r="H43" s="103" t="n">
        <x:f>IF(E43=0.95,1.65,IF(E43=0.9,1.28,""))</x:f>
        <x:v>1.65</x:v>
      </x:c>
      <x:c r="I43" s="108" t="n">
        <x:v>2</x:v>
      </x:c>
      <x:c r="J43" s="103" t="n">
        <x:f>H43*G43*SQRT(I43)</x:f>
        <x:v>86.72577471547892</x:v>
      </x:c>
      <x:c r="K43" s="103" t="n">
        <x:f>N43+J43</x:f>
        <x:v>136.7257747154789</x:v>
      </x:c>
      <x:c r="L43" s="103" t="n">
        <x:f>K43*D43</x:f>
        <x:v>683.6288735773945</x:v>
      </x:c>
      <x:c r="M43" s="108" t="n">
        <x:f>ROUNDUP(L43/'WH DATA'!$C$2,0)</x:f>
        <x:v>17</x:v>
      </x:c>
      <x:c r="N43" s="9">
        <x:v>50.0</x:v>
      </x:c>
      <x:c r="O43" s="9">
        <x:v>0.0</x:v>
      </x:c>
      <x:c r="P43" s="9">
        <x:v>68.0</x:v>
      </x:c>
      <x:c r="Q43" s="9">
        <x:v>106.0</x:v>
      </x:c>
      <x:c r="R43" s="9">
        <x:v>107.0</x:v>
      </x:c>
      <x:c r="S43" s="9">
        <x:v>127.0</x:v>
      </x:c>
      <x:c r="T43" s="9">
        <x:v>55.0</x:v>
      </x:c>
    </x:row>
    <x:row r="44">
      <x:c r="B44" s="8" t="s">
        <x:v>55</x:v>
      </x:c>
      <x:c r="C44" s="10">
        <x:v>2128.0</x:v>
      </x:c>
      <x:c r="D44" s="9">
        <x:v>1.0</x:v>
      </x:c>
      <x:c r="E44" s="99" t="n">
        <x:v>0.95</x:v>
      </x:c>
      <x:c r="F44" s="103" t="n">
        <x:f>AVERAGE(R44:T44)</x:f>
        <x:v>138</x:v>
      </x:c>
      <x:c r="G44" s="103" t="n">
        <x:f>STDEV(R44:T44)</x:f>
        <x:v>54.52522352086234</x:v>
      </x:c>
      <x:c r="H44" s="103" t="n">
        <x:f>IF(E44=0.95,1.65,IF(E44=0.9,1.28,""))</x:f>
        <x:v>1.65</x:v>
      </x:c>
      <x:c r="I44" s="108" t="n">
        <x:v>2</x:v>
      </x:c>
      <x:c r="J44" s="103" t="n">
        <x:f>H44*G44*SQRT(I44)</x:f>
        <x:v>127.23201248113621</x:v>
      </x:c>
      <x:c r="K44" s="103" t="n">
        <x:f>N44+J44</x:f>
        <x:v>147.23201248113622</x:v>
      </x:c>
      <x:c r="L44" s="103" t="n">
        <x:f>K44*D44</x:f>
        <x:v>147.23201248113622</x:v>
      </x:c>
      <x:c r="M44" s="108" t="n">
        <x:f>ROUNDUP(L44/'WH DATA'!$C$2,0)</x:f>
        <x:v>4</x:v>
      </x:c>
      <x:c r="N44" s="9">
        <x:v>20.0</x:v>
      </x:c>
      <x:c r="O44" s="9">
        <x:v>25.0</x:v>
      </x:c>
      <x:c r="P44" s="9">
        <x:v>27.0</x:v>
      </x:c>
      <x:c r="Q44" s="9">
        <x:v>73.0</x:v>
      </x:c>
      <x:c r="R44" s="9">
        <x:v>182.0</x:v>
      </x:c>
      <x:c r="S44" s="9">
        <x:v>155.0</x:v>
      </x:c>
      <x:c r="T44" s="9">
        <x:v>77.0</x:v>
      </x:c>
    </x:row>
    <x:row r="45">
      <x:c r="B45" s="8" t="s">
        <x:v>56</x:v>
      </x:c>
      <x:c r="C45" s="10">
        <x:v>3294.0</x:v>
      </x:c>
      <x:c r="D45" s="9">
        <x:v>1.0</x:v>
      </x:c>
      <x:c r="E45" s="99" t="n">
        <x:v>0.95</x:v>
      </x:c>
      <x:c r="F45" s="103" t="n">
        <x:f>AVERAGE(R45:T45)</x:f>
        <x:v>106.33333333333333</x:v>
      </x:c>
      <x:c r="G45" s="103" t="n">
        <x:f>STDEV(R45:T45)</x:f>
        <x:v>68.88637988262508</x:v>
      </x:c>
      <x:c r="H45" s="103" t="n">
        <x:f>IF(E45=0.95,1.65,IF(E45=0.9,1.28,""))</x:f>
        <x:v>1.65</x:v>
      </x:c>
      <x:c r="I45" s="108" t="n">
        <x:v>2</x:v>
      </x:c>
      <x:c r="J45" s="103" t="n">
        <x:f>H45*G45*SQRT(I45)</x:f>
        <x:v>160.74308694310932</x:v>
      </x:c>
      <x:c r="K45" s="103" t="n">
        <x:f>N45+J45</x:f>
        <x:v>308.74308694310935</x:v>
      </x:c>
      <x:c r="L45" s="103" t="n">
        <x:f>K45*D45</x:f>
        <x:v>308.74308694310935</x:v>
      </x:c>
      <x:c r="M45" s="108" t="n">
        <x:f>ROUNDUP(L45/'WH DATA'!$C$2,0)</x:f>
        <x:v>8</x:v>
      </x:c>
      <x:c r="N45" s="9">
        <x:v>148.0</x:v>
      </x:c>
      <x:c r="O45" s="9">
        <x:v>112.0</x:v>
      </x:c>
      <x:c r="P45" s="9">
        <x:v>10.0</x:v>
      </x:c>
      <x:c r="Q45" s="9">
        <x:v>131.0</x:v>
      </x:c>
      <x:c r="R45" s="9">
        <x:v>141.0</x:v>
      </x:c>
      <x:c r="S45" s="9">
        <x:v>151.0</x:v>
      </x:c>
      <x:c r="T45" s="9">
        <x:v>27.0</x:v>
      </x:c>
    </x:row>
    <x:row r="46">
      <x:c r="B46" s="8" t="s">
        <x:v>57</x:v>
      </x:c>
      <x:c r="C46" s="10">
        <x:v>7714.0</x:v>
      </x:c>
      <x:c r="D46" s="9">
        <x:v>4.0</x:v>
      </x:c>
      <x:c r="E46" s="99" t="n">
        <x:v>0.95</x:v>
      </x:c>
      <x:c r="F46" s="103" t="n">
        <x:f>AVERAGE(R46:T46)</x:f>
        <x:v>98.66666666666667</x:v>
      </x:c>
      <x:c r="G46" s="103" t="n">
        <x:f>STDEV(R46:T46)</x:f>
        <x:v>66.98009654616313</x:v>
      </x:c>
      <x:c r="H46" s="103" t="n">
        <x:f>IF(E46=0.95,1.65,IF(E46=0.9,1.28,""))</x:f>
        <x:v>1.65</x:v>
      </x:c>
      <x:c r="I46" s="108" t="n">
        <x:v>2</x:v>
      </x:c>
      <x:c r="J46" s="103" t="n">
        <x:f>H46*G46*SQRT(I46)</x:f>
        <x:v>156.29486555866126</x:v>
      </x:c>
      <x:c r="K46" s="103" t="n">
        <x:f>N46+J46</x:f>
        <x:v>200.29486555866126</x:v>
      </x:c>
      <x:c r="L46" s="103" t="n">
        <x:f>K46*D46</x:f>
        <x:v>801.179462234645</x:v>
      </x:c>
      <x:c r="M46" s="108" t="n">
        <x:f>ROUNDUP(L46/'WH DATA'!$C$2,0)</x:f>
        <x:v>20</x:v>
      </x:c>
      <x:c r="N46" s="9">
        <x:v>44.0</x:v>
      </x:c>
      <x:c r="O46" s="9">
        <x:v>36.0</x:v>
      </x:c>
      <x:c r="P46" s="9">
        <x:v>126.0</x:v>
      </x:c>
      <x:c r="Q46" s="9">
        <x:v>61.0</x:v>
      </x:c>
      <x:c r="R46" s="9">
        <x:v>43.0</x:v>
      </x:c>
      <x:c r="S46" s="9">
        <x:v>80.0</x:v>
      </x:c>
      <x:c r="T46" s="9">
        <x:v>173.0</x:v>
      </x:c>
    </x:row>
    <x:row r="47">
      <x:c r="B47" s="8" t="s">
        <x:v>58</x:v>
      </x:c>
      <x:c r="C47" s="10">
        <x:v>1115.0</x:v>
      </x:c>
      <x:c r="D47" s="9">
        <x:v>3.0</x:v>
      </x:c>
      <x:c r="E47" s="99" t="n">
        <x:v>0.95</x:v>
      </x:c>
      <x:c r="F47" s="103" t="n">
        <x:f>AVERAGE(R47:T47)</x:f>
        <x:v>56.666666666666664</x:v>
      </x:c>
      <x:c r="G47" s="103" t="n">
        <x:f>STDEV(R47:T47)</x:f>
        <x:v>60.70694633510512</x:v>
      </x:c>
      <x:c r="H47" s="103" t="n">
        <x:f>IF(E47=0.95,1.65,IF(E47=0.9,1.28,""))</x:f>
        <x:v>1.65</x:v>
      </x:c>
      <x:c r="I47" s="108" t="n">
        <x:v>2</x:v>
      </x:c>
      <x:c r="J47" s="103" t="n">
        <x:f>H47*G47*SQRT(I47)</x:f>
        <x:v>141.65676828164618</x:v>
      </x:c>
      <x:c r="K47" s="103" t="n">
        <x:f>N47+J47</x:f>
        <x:v>201.65676828164618</x:v>
      </x:c>
      <x:c r="L47" s="103" t="n">
        <x:f>K47*D47</x:f>
        <x:v>604.9703048449385</x:v>
      </x:c>
      <x:c r="M47" s="108" t="n">
        <x:f>ROUNDUP(L47/'WH DATA'!$C$2,0)</x:f>
        <x:v>15</x:v>
      </x:c>
      <x:c r="N47" s="9">
        <x:v>60.0</x:v>
      </x:c>
      <x:c r="O47" s="9">
        <x:v>127.0</x:v>
      </x:c>
      <x:c r="P47" s="9">
        <x:v>21.0</x:v>
      </x:c>
      <x:c r="Q47" s="9">
        <x:v>63.0</x:v>
      </x:c>
      <x:c r="R47" s="9">
        <x:v>46.0</x:v>
      </x:c>
      <x:c r="S47" s="9">
        <x:v>122.0</x:v>
      </x:c>
      <x:c r="T47" s="9">
        <x:v>2.0</x:v>
      </x:c>
    </x:row>
    <x:row r="48">
      <x:c r="B48" s="8" t="s">
        <x:v>59</x:v>
      </x:c>
      <x:c r="C48" s="10">
        <x:v>6248.0</x:v>
      </x:c>
      <x:c r="D48" s="9">
        <x:v>7.0</x:v>
      </x:c>
      <x:c r="E48" s="99" t="n">
        <x:v>0.95</x:v>
      </x:c>
      <x:c r="F48" s="103" t="n">
        <x:f>AVERAGE(R48:T48)</x:f>
        <x:v>146.66666666666666</x:v>
      </x:c>
      <x:c r="G48" s="103" t="n">
        <x:f>STDEV(R48:T48)</x:f>
        <x:v>28.746014216467184</x:v>
      </x:c>
      <x:c r="H48" s="103" t="n">
        <x:f>IF(E48=0.95,1.65,IF(E48=0.9,1.28,""))</x:f>
        <x:v>1.65</x:v>
      </x:c>
      <x:c r="I48" s="108" t="n">
        <x:v>2</x:v>
      </x:c>
      <x:c r="J48" s="103" t="n">
        <x:f>H48*G48*SQRT(I48)</x:f>
        <x:v>67.07745522901119</x:v>
      </x:c>
      <x:c r="K48" s="103" t="n">
        <x:f>N48+J48</x:f>
        <x:v>160.0774552290112</x:v>
      </x:c>
      <x:c r="L48" s="103" t="n">
        <x:f>K48*D48</x:f>
        <x:v>1120.5421866030783</x:v>
      </x:c>
      <x:c r="M48" s="108" t="n">
        <x:f>ROUNDUP(L48/'WH DATA'!$C$2,0)</x:f>
        <x:v>27</x:v>
      </x:c>
      <x:c r="N48" s="9">
        <x:v>93.0</x:v>
      </x:c>
      <x:c r="O48" s="9">
        <x:v>97.0</x:v>
      </x:c>
      <x:c r="P48" s="9">
        <x:v>97.0</x:v>
      </x:c>
      <x:c r="Q48" s="9">
        <x:v>14.0</x:v>
      </x:c>
      <x:c r="R48" s="9">
        <x:v>179.0</x:v>
      </x:c>
      <x:c r="S48" s="9">
        <x:v>124.0</x:v>
      </x:c>
      <x:c r="T48" s="9">
        <x:v>137.0</x:v>
      </x:c>
    </x:row>
    <x:row r="49">
      <x:c r="B49" s="8" t="s">
        <x:v>60</x:v>
      </x:c>
      <x:c r="C49" s="10">
        <x:v>6959.0</x:v>
      </x:c>
      <x:c r="D49" s="9">
        <x:v>5.0</x:v>
      </x:c>
      <x:c r="E49" s="99" t="n">
        <x:v>0.95</x:v>
      </x:c>
      <x:c r="F49" s="103" t="n">
        <x:f>AVERAGE(R49:T49)</x:f>
        <x:v>133.66666666666666</x:v>
      </x:c>
      <x:c r="G49" s="103" t="n">
        <x:f>STDEV(R49:T49)</x:f>
        <x:v>18.58314648635514</x:v>
      </x:c>
      <x:c r="H49" s="103" t="n">
        <x:f>IF(E49=0.95,1.65,IF(E49=0.9,1.28,""))</x:f>
        <x:v>1.65</x:v>
      </x:c>
      <x:c r="I49" s="108" t="n">
        <x:v>2</x:v>
      </x:c>
      <x:c r="J49" s="103" t="n">
        <x:f>H49*G49*SQRT(I49)</x:f>
        <x:v>43.36288735773946</x:v>
      </x:c>
      <x:c r="K49" s="103" t="n">
        <x:f>N49+J49</x:f>
        <x:v>242.36288735773945</x:v>
      </x:c>
      <x:c r="L49" s="103" t="n">
        <x:f>K49*D49</x:f>
        <x:v>1211.8144367886973</x:v>
      </x:c>
      <x:c r="M49" s="108" t="n">
        <x:f>ROUNDUP(L49/'WH DATA'!$C$2,0)</x:f>
        <x:v>29</x:v>
      </x:c>
      <x:c r="N49" s="9">
        <x:v>199.0</x:v>
      </x:c>
      <x:c r="O49" s="9">
        <x:v>10.0</x:v>
      </x:c>
      <x:c r="P49" s="9">
        <x:v>48.0</x:v>
      </x:c>
      <x:c r="Q49" s="9">
        <x:v>31.0</x:v>
      </x:c>
      <x:c r="R49" s="9">
        <x:v>121.0</x:v>
      </x:c>
      <x:c r="S49" s="9">
        <x:v>155.0</x:v>
      </x:c>
      <x:c r="T49" s="9">
        <x:v>125.0</x:v>
      </x:c>
    </x:row>
    <x:row r="50">
      <x:c r="B50" s="8" t="s">
        <x:v>61</x:v>
      </x:c>
      <x:c r="C50" s="10">
        <x:v>1871.0</x:v>
      </x:c>
      <x:c r="D50" s="9">
        <x:v>9.0</x:v>
      </x:c>
      <x:c r="E50" s="99" t="n">
        <x:v>0.95</x:v>
      </x:c>
      <x:c r="F50" s="103" t="n">
        <x:f>AVERAGE(R50:T50)</x:f>
        <x:v>31.666666666666668</x:v>
      </x:c>
      <x:c r="G50" s="103" t="n">
        <x:f>STDEV(R50:T50)</x:f>
        <x:v>35.23256069793016</x:v>
      </x:c>
      <x:c r="H50" s="103" t="n">
        <x:f>IF(E50=0.95,1.65,IF(E50=0.9,1.28,""))</x:f>
        <x:v>1.65</x:v>
      </x:c>
      <x:c r="I50" s="108" t="n">
        <x:v>2</x:v>
      </x:c>
      <x:c r="J50" s="103" t="n">
        <x:f>H50*G50*SQRT(I50)</x:f>
        <x:v>82.21350254064109</x:v>
      </x:c>
      <x:c r="K50" s="103" t="n">
        <x:f>N50+J50</x:f>
        <x:v>257.2135025406411</x:v>
      </x:c>
      <x:c r="L50" s="103" t="n">
        <x:f>K50*D50</x:f>
        <x:v>2314.92152286577</x:v>
      </x:c>
      <x:c r="M50" s="108" t="n">
        <x:f>ROUNDUP(L50/'WH DATA'!$C$2,0)</x:f>
        <x:v>56</x:v>
      </x:c>
      <x:c r="N50" s="9">
        <x:v>175.0</x:v>
      </x:c>
      <x:c r="O50" s="9">
        <x:v>38.0</x:v>
      </x:c>
      <x:c r="P50" s="9">
        <x:v>80.0</x:v>
      </x:c>
      <x:c r="Q50" s="9">
        <x:v>101.0</x:v>
      </x:c>
      <x:c r="R50" s="9">
        <x:v>21.0</x:v>
      </x:c>
      <x:c r="S50" s="9">
        <x:v>3.0</x:v>
      </x:c>
      <x:c r="T50" s="9">
        <x:v>71.0</x:v>
      </x:c>
    </x:row>
    <x:row r="51">
      <x:c r="B51" s="8" t="s">
        <x:v>62</x:v>
      </x:c>
      <x:c r="C51" s="10">
        <x:v>2973.0</x:v>
      </x:c>
      <x:c r="D51" s="9">
        <x:v>8.0</x:v>
      </x:c>
      <x:c r="E51" s="99" t="n">
        <x:v>0.95</x:v>
      </x:c>
      <x:c r="F51" s="103" t="n">
        <x:f>AVERAGE(R51:T51)</x:f>
        <x:v>75.33333333333333</x:v>
      </x:c>
      <x:c r="G51" s="103" t="n">
        <x:f>STDEV(R51:T51)</x:f>
        <x:v>61.15826463637873</x:v>
      </x:c>
      <x:c r="H51" s="103" t="n">
        <x:f>IF(E51=0.95,1.65,IF(E51=0.9,1.28,""))</x:f>
        <x:v>1.65</x:v>
      </x:c>
      <x:c r="I51" s="108" t="n">
        <x:v>2</x:v>
      </x:c>
      <x:c r="J51" s="103" t="n">
        <x:f>H51*G51*SQRT(I51)</x:f>
        <x:v>142.7098980449499</x:v>
      </x:c>
      <x:c r="K51" s="103" t="n">
        <x:f>N51+J51</x:f>
        <x:v>322.7098980449499</x:v>
      </x:c>
      <x:c r="L51" s="103" t="n">
        <x:f>K51*D51</x:f>
        <x:v>2581.6791843595993</x:v>
      </x:c>
      <x:c r="M51" s="108" t="n">
        <x:f>ROUNDUP(L51/'WH DATA'!$C$2,0)</x:f>
        <x:v>62</x:v>
      </x:c>
      <x:c r="N51" s="9">
        <x:v>180.0</x:v>
      </x:c>
      <x:c r="O51" s="9">
        <x:v>88.0</x:v>
      </x:c>
      <x:c r="P51" s="9">
        <x:v>180.0</x:v>
      </x:c>
      <x:c r="Q51" s="9">
        <x:v>120.0</x:v>
      </x:c>
      <x:c r="R51" s="9">
        <x:v>65.0</x:v>
      </x:c>
      <x:c r="S51" s="9">
        <x:v>141.0</x:v>
      </x:c>
      <x:c r="T51" s="9">
        <x:v>20.0</x:v>
      </x:c>
    </x:row>
    <x:row r="52">
      <x:c r="B52" s="8" t="s">
        <x:v>63</x:v>
      </x:c>
      <x:c r="C52" s="10">
        <x:v>6739.0</x:v>
      </x:c>
      <x:c r="D52" s="9">
        <x:v>9.0</x:v>
      </x:c>
      <x:c r="E52" s="99" t="n">
        <x:v>0.95</x:v>
      </x:c>
      <x:c r="F52" s="103" t="n">
        <x:f>AVERAGE(R52:T52)</x:f>
        <x:v>79</x:v>
      </x:c>
      <x:c r="G52" s="103" t="n">
        <x:f>STDEV(R52:T52)</x:f>
        <x:v>23.515952032609693</x:v>
      </x:c>
      <x:c r="H52" s="103" t="n">
        <x:f>IF(E52=0.95,1.65,IF(E52=0.9,1.28,""))</x:f>
        <x:v>1.65</x:v>
      </x:c>
      <x:c r="I52" s="108" t="n">
        <x:v>2</x:v>
      </x:c>
      <x:c r="J52" s="103" t="n">
        <x:f>H52*G52*SQRT(I52)</x:f>
        <x:v>54.87335418944244</x:v>
      </x:c>
      <x:c r="K52" s="103" t="n">
        <x:f>N52+J52</x:f>
        <x:v>89.87335418944244</x:v>
      </x:c>
      <x:c r="L52" s="103" t="n">
        <x:f>K52*D52</x:f>
        <x:v>808.860187704982</x:v>
      </x:c>
      <x:c r="M52" s="108" t="n">
        <x:f>ROUNDUP(L52/'WH DATA'!$C$2,0)</x:f>
        <x:v>20</x:v>
      </x:c>
      <x:c r="N52" s="9">
        <x:v>35.0</x:v>
      </x:c>
      <x:c r="O52" s="9">
        <x:v>79.0</x:v>
      </x:c>
      <x:c r="P52" s="9">
        <x:v>150.0</x:v>
      </x:c>
      <x:c r="Q52" s="9">
        <x:v>74.0</x:v>
      </x:c>
      <x:c r="R52" s="9">
        <x:v>106.0</x:v>
      </x:c>
      <x:c r="S52" s="9">
        <x:v>63.0</x:v>
      </x:c>
      <x:c r="T52" s="9">
        <x:v>68.0</x:v>
      </x:c>
    </x:row>
    <x:row r="53">
      <x:c r="B53" s="8" t="s">
        <x:v>64</x:v>
      </x:c>
      <x:c r="C53" s="10">
        <x:v>2258.0</x:v>
      </x:c>
      <x:c r="D53" s="9">
        <x:v>9.0</x:v>
      </x:c>
      <x:c r="E53" s="99" t="n">
        <x:v>0.95</x:v>
      </x:c>
      <x:c r="F53" s="103" t="n">
        <x:f>AVERAGE(R53:T53)</x:f>
        <x:v>67.66666666666667</x:v>
      </x:c>
      <x:c r="G53" s="103" t="n">
        <x:f>STDEV(R53:T53)</x:f>
        <x:v>72.14106551287784</x:v>
      </x:c>
      <x:c r="H53" s="103" t="n">
        <x:f>IF(E53=0.95,1.65,IF(E53=0.9,1.28,""))</x:f>
        <x:v>1.65</x:v>
      </x:c>
      <x:c r="I53" s="108" t="n">
        <x:v>2</x:v>
      </x:c>
      <x:c r="J53" s="103" t="n">
        <x:f>H53*G53*SQRT(I53)</x:f>
        <x:v>168.3377408663904</x:v>
      </x:c>
      <x:c r="K53" s="103" t="n">
        <x:f>N53+J53</x:f>
        <x:v>303.3377408663904</x:v>
      </x:c>
      <x:c r="L53" s="103" t="n">
        <x:f>K53*D53</x:f>
        <x:v>2730.0396677975136</x:v>
      </x:c>
      <x:c r="M53" s="108" t="n">
        <x:f>ROUNDUP(L53/'WH DATA'!$C$2,0)</x:f>
        <x:v>66</x:v>
      </x:c>
      <x:c r="N53" s="9">
        <x:v>135.0</x:v>
      </x:c>
      <x:c r="O53" s="9">
        <x:v>127.0</x:v>
      </x:c>
      <x:c r="P53" s="9">
        <x:v>13.0</x:v>
      </x:c>
      <x:c r="Q53" s="9">
        <x:v>165.0</x:v>
      </x:c>
      <x:c r="R53" s="9">
        <x:v>50.0</x:v>
      </x:c>
      <x:c r="S53" s="9">
        <x:v>147.0</x:v>
      </x:c>
      <x:c r="T53" s="9">
        <x:v>6.0</x:v>
      </x:c>
    </x:row>
    <x:row r="54">
      <x:c r="B54" s="8" t="s">
        <x:v>65</x:v>
      </x:c>
      <x:c r="C54" s="10">
        <x:v>3735.0</x:v>
      </x:c>
      <x:c r="D54" s="9">
        <x:v>8.0</x:v>
      </x:c>
      <x:c r="E54" s="99" t="n">
        <x:v>0.95</x:v>
      </x:c>
      <x:c r="F54" s="103" t="n">
        <x:f>AVERAGE(R54:T54)</x:f>
        <x:v>100.66666666666667</x:v>
      </x:c>
      <x:c r="G54" s="103" t="n">
        <x:f>STDEV(R54:T54)</x:f>
        <x:v>49.409850569834084</x:v>
      </x:c>
      <x:c r="H54" s="103" t="n">
        <x:f>IF(E54=0.95,1.65,IF(E54=0.9,1.28,""))</x:f>
        <x:v>1.65</x:v>
      </x:c>
      <x:c r="I54" s="108" t="n">
        <x:v>2</x:v>
      </x:c>
      <x:c r="J54" s="103" t="n">
        <x:f>H54*G54*SQRT(I54)</x:f>
        <x:v>115.29553330463416</x:v>
      </x:c>
      <x:c r="K54" s="103" t="n">
        <x:f>N54+J54</x:f>
        <x:v>266.29553330463415</x:v>
      </x:c>
      <x:c r="L54" s="103" t="n">
        <x:f>K54*D54</x:f>
        <x:v>2130.364266437073</x:v>
      </x:c>
      <x:c r="M54" s="108" t="n">
        <x:f>ROUNDUP(L54/'WH DATA'!$C$2,0)</x:f>
        <x:v>51</x:v>
      </x:c>
      <x:c r="N54" s="9">
        <x:v>151.0</x:v>
      </x:c>
      <x:c r="O54" s="9">
        <x:v>21.0</x:v>
      </x:c>
      <x:c r="P54" s="9">
        <x:v>58.0</x:v>
      </x:c>
      <x:c r="Q54" s="9">
        <x:v>172.0</x:v>
      </x:c>
      <x:c r="R54" s="9">
        <x:v>48.0</x:v>
      </x:c>
      <x:c r="S54" s="9">
        <x:v>108.0</x:v>
      </x:c>
      <x:c r="T54" s="9">
        <x:v>146.0</x:v>
      </x:c>
    </x:row>
    <x:row r="55">
      <x:c r="B55" s="8" t="s">
        <x:v>66</x:v>
      </x:c>
      <x:c r="C55" s="10">
        <x:v>1465.0</x:v>
      </x:c>
      <x:c r="D55" s="9">
        <x:v>12.0</x:v>
      </x:c>
      <x:c r="E55" s="99" t="n">
        <x:v>0.95</x:v>
      </x:c>
      <x:c r="F55" s="103" t="n">
        <x:f>AVERAGE(R55:T55)</x:f>
        <x:v>83</x:v>
      </x:c>
      <x:c r="G55" s="103" t="n">
        <x:f>STDEV(R55:T55)</x:f>
        <x:v>55.97320787662612</x:v>
      </x:c>
      <x:c r="H55" s="103" t="n">
        <x:f>IF(E55=0.95,1.65,IF(E55=0.9,1.28,""))</x:f>
        <x:v>1.65</x:v>
      </x:c>
      <x:c r="I55" s="108" t="n">
        <x:v>2</x:v>
      </x:c>
      <x:c r="J55" s="103" t="n">
        <x:f>H55*G55*SQRT(I55)</x:f>
        <x:v>130.6108150192778</x:v>
      </x:c>
      <x:c r="K55" s="103" t="n">
        <x:f>N55+J55</x:f>
        <x:v>179.6108150192778</x:v>
      </x:c>
      <x:c r="L55" s="103" t="n">
        <x:f>K55*D55</x:f>
        <x:v>2155.3297802313336</x:v>
      </x:c>
      <x:c r="M55" s="108" t="n">
        <x:f>ROUNDUP(L55/'WH DATA'!$C$2,0)</x:f>
        <x:v>52</x:v>
      </x:c>
      <x:c r="N55" s="9">
        <x:v>49.0</x:v>
      </x:c>
      <x:c r="O55" s="9">
        <x:v>166.0</x:v>
      </x:c>
      <x:c r="P55" s="9">
        <x:v>69.0</x:v>
      </x:c>
      <x:c r="Q55" s="9">
        <x:v>133.0</x:v>
      </x:c>
      <x:c r="R55" s="9">
        <x:v>95.0</x:v>
      </x:c>
      <x:c r="S55" s="9">
        <x:v>132.0</x:v>
      </x:c>
      <x:c r="T55" s="9">
        <x:v>22.0</x:v>
      </x:c>
    </x:row>
    <x:row r="56">
      <x:c r="B56" s="8" t="s">
        <x:v>67</x:v>
      </x:c>
      <x:c r="C56" s="10">
        <x:v>1846.0</x:v>
      </x:c>
      <x:c r="D56" s="9">
        <x:v>8.0</x:v>
      </x:c>
      <x:c r="E56" s="99" t="n">
        <x:v>0.95</x:v>
      </x:c>
      <x:c r="F56" s="103" t="n">
        <x:f>AVERAGE(R56:T56)</x:f>
        <x:v>139.66666666666666</x:v>
      </x:c>
      <x:c r="G56" s="103" t="n">
        <x:f>STDEV(R56:T56)</x:f>
        <x:v>27.934447074057747</x:v>
      </x:c>
      <x:c r="H56" s="103" t="n">
        <x:f>IF(E56=0.95,1.65,IF(E56=0.9,1.28,""))</x:f>
        <x:v>1.65</x:v>
      </x:c>
      <x:c r="I56" s="108" t="n">
        <x:v>2</x:v>
      </x:c>
      <x:c r="J56" s="103" t="n">
        <x:f>H56*G56*SQRT(I56)</x:f>
        <x:v>65.18370195071772</x:v>
      </x:c>
      <x:c r="K56" s="103" t="n">
        <x:f>N56+J56</x:f>
        <x:v>216.1837019507177</x:v>
      </x:c>
      <x:c r="L56" s="103" t="n">
        <x:f>K56*D56</x:f>
        <x:v>1729.4696156057416</x:v>
      </x:c>
      <x:c r="M56" s="108" t="n">
        <x:f>ROUNDUP(L56/'WH DATA'!$C$2,0)</x:f>
        <x:v>42</x:v>
      </x:c>
      <x:c r="N56" s="9">
        <x:v>151.0</x:v>
      </x:c>
      <x:c r="O56" s="9">
        <x:v>2.0</x:v>
      </x:c>
      <x:c r="P56" s="9">
        <x:v>157.0</x:v>
      </x:c>
      <x:c r="Q56" s="9">
        <x:v>61.0</x:v>
      </x:c>
      <x:c r="R56" s="9">
        <x:v>115.0</x:v>
      </x:c>
      <x:c r="S56" s="9">
        <x:v>170.0</x:v>
      </x:c>
      <x:c r="T56" s="9">
        <x:v>134.0</x:v>
      </x:c>
    </x:row>
    <x:row r="57">
      <x:c r="B57" s="8" t="s">
        <x:v>68</x:v>
      </x:c>
      <x:c r="C57" s="10">
        <x:v>1540.0</x:v>
      </x:c>
      <x:c r="D57" s="9">
        <x:v>10.0</x:v>
      </x:c>
      <x:c r="E57" s="99" t="n">
        <x:v>0.95</x:v>
      </x:c>
      <x:c r="F57" s="103" t="n">
        <x:f>AVERAGE(R57:T57)</x:f>
        <x:v>73.66666666666667</x:v>
      </x:c>
      <x:c r="G57" s="103" t="n">
        <x:f>STDEV(R57:T57)</x:f>
        <x:v>71.34657198025238</x:v>
      </x:c>
      <x:c r="H57" s="103" t="n">
        <x:f>IF(E57=0.95,1.65,IF(E57=0.9,1.28,""))</x:f>
        <x:v>1.65</x:v>
      </x:c>
      <x:c r="I57" s="108" t="n">
        <x:v>2</x:v>
      </x:c>
      <x:c r="J57" s="103" t="n">
        <x:f>H57*G57*SQRT(I57)</x:f>
        <x:v>166.48382804344692</x:v>
      </x:c>
      <x:c r="K57" s="103" t="n">
        <x:f>N57+J57</x:f>
        <x:v>286.4838280434469</x:v>
      </x:c>
      <x:c r="L57" s="103" t="n">
        <x:f>K57*D57</x:f>
        <x:v>2864.838280434469</x:v>
      </x:c>
      <x:c r="M57" s="108" t="n">
        <x:f>ROUNDUP(L57/'WH DATA'!$C$2,0)</x:f>
        <x:v>69</x:v>
      </x:c>
      <x:c r="N57" s="9">
        <x:v>120.0</x:v>
      </x:c>
      <x:c r="O57" s="9">
        <x:v>6.0</x:v>
      </x:c>
      <x:c r="P57" s="9">
        <x:v>93.0</x:v>
      </x:c>
      <x:c r="Q57" s="9">
        <x:v>14.0</x:v>
      </x:c>
      <x:c r="R57" s="9">
        <x:v>156.0</x:v>
      </x:c>
      <x:c r="S57" s="9">
        <x:v>30.0</x:v>
      </x:c>
      <x:c r="T57" s="9">
        <x:v>35.0</x:v>
      </x:c>
    </x:row>
    <x:row r="58">
      <x:c r="B58" s="8" t="s">
        <x:v>69</x:v>
      </x:c>
      <x:c r="C58" s="10">
        <x:v>1325.0</x:v>
      </x:c>
      <x:c r="D58" s="9">
        <x:v>5.0</x:v>
      </x:c>
      <x:c r="E58" s="99" t="n">
        <x:v>0.95</x:v>
      </x:c>
      <x:c r="F58" s="103" t="n">
        <x:f>AVERAGE(R58:T58)</x:f>
        <x:v>152.66666666666666</x:v>
      </x:c>
      <x:c r="G58" s="103" t="n">
        <x:f>STDEV(R58:T58)</x:f>
        <x:v>44.613152021946775</x:v>
      </x:c>
      <x:c r="H58" s="103" t="n">
        <x:f>IF(E58=0.95,1.65,IF(E58=0.9,1.28,""))</x:f>
        <x:v>1.65</x:v>
      </x:c>
      <x:c r="I58" s="108" t="n">
        <x:v>2</x:v>
      </x:c>
      <x:c r="J58" s="103" t="n">
        <x:f>H58*G58*SQRT(I58)</x:f>
        <x:v>104.10266567192217</x:v>
      </x:c>
      <x:c r="K58" s="103" t="n">
        <x:f>N58+J58</x:f>
        <x:v>214.10266567192218</x:v>
      </x:c>
      <x:c r="L58" s="103" t="n">
        <x:f>K58*D58</x:f>
        <x:v>1070.513328359611</x:v>
      </x:c>
      <x:c r="M58" s="108" t="n">
        <x:f>ROUNDUP(L58/'WH DATA'!$C$2,0)</x:f>
        <x:v>26</x:v>
      </x:c>
      <x:c r="N58" s="9">
        <x:v>110.0</x:v>
      </x:c>
      <x:c r="O58" s="9">
        <x:v>130.0</x:v>
      </x:c>
      <x:c r="P58" s="9">
        <x:v>9.0</x:v>
      </x:c>
      <x:c r="Q58" s="9">
        <x:v>32.0</x:v>
      </x:c>
      <x:c r="R58" s="9">
        <x:v>110.0</x:v>
      </x:c>
      <x:c r="S58" s="9">
        <x:v>149.0</x:v>
      </x:c>
      <x:c r="T58" s="9">
        <x:v>199.0</x:v>
      </x:c>
    </x:row>
    <x:row r="59">
      <x:c r="B59" s="8" t="s">
        <x:v>70</x:v>
      </x:c>
      <x:c r="C59" s="10">
        <x:v>1385.0</x:v>
      </x:c>
      <x:c r="D59" s="9">
        <x:v>6.0</x:v>
      </x:c>
      <x:c r="E59" s="99" t="n">
        <x:v>0.95</x:v>
      </x:c>
      <x:c r="F59" s="103" t="n">
        <x:f>AVERAGE(R59:T59)</x:f>
        <x:v>84.66666666666667</x:v>
      </x:c>
      <x:c r="G59" s="103" t="n">
        <x:f>STDEV(R59:T59)</x:f>
        <x:v>30.827476921300796</x:v>
      </x:c>
      <x:c r="H59" s="103" t="n">
        <x:f>IF(E59=0.95,1.65,IF(E59=0.9,1.28,""))</x:f>
        <x:v>1.65</x:v>
      </x:c>
      <x:c r="I59" s="108" t="n">
        <x:v>2</x:v>
      </x:c>
      <x:c r="J59" s="103" t="n">
        <x:f>H59*G59*SQRT(I59)</x:f>
        <x:v>71.93444932714783</x:v>
      </x:c>
      <x:c r="K59" s="103" t="n">
        <x:f>N59+J59</x:f>
        <x:v>161.93444932714783</x:v>
      </x:c>
      <x:c r="L59" s="103" t="n">
        <x:f>K59*D59</x:f>
        <x:v>971.606695962887</x:v>
      </x:c>
      <x:c r="M59" s="108" t="n">
        <x:f>ROUNDUP(L59/'WH DATA'!$C$2,0)</x:f>
        <x:v>24</x:v>
      </x:c>
      <x:c r="N59" s="9">
        <x:v>90.0</x:v>
      </x:c>
      <x:c r="O59" s="9">
        <x:v>71.0</x:v>
      </x:c>
      <x:c r="P59" s="9">
        <x:v>142.0</x:v>
      </x:c>
      <x:c r="Q59" s="9">
        <x:v>35.0</x:v>
      </x:c>
      <x:c r="R59" s="9">
        <x:v>95.0</x:v>
      </x:c>
      <x:c r="S59" s="9">
        <x:v>50.0</x:v>
      </x:c>
      <x:c r="T59" s="9">
        <x:v>109.0</x:v>
      </x:c>
    </x:row>
    <x:row r="60">
      <x:c r="B60" s="8" t="s">
        <x:v>71</x:v>
      </x:c>
      <x:c r="C60" s="10">
        <x:v>6547.0</x:v>
      </x:c>
      <x:c r="D60" s="9">
        <x:v>6.0</x:v>
      </x:c>
      <x:c r="E60" s="99" t="n">
        <x:v>0.95</x:v>
      </x:c>
      <x:c r="F60" s="103" t="n">
        <x:f>AVERAGE(R60:T60)</x:f>
        <x:v>139.33333333333334</x:v>
      </x:c>
      <x:c r="G60" s="103" t="n">
        <x:f>STDEV(R60:T60)</x:f>
        <x:v>59.070579253409505</x:v>
      </x:c>
      <x:c r="H60" s="103" t="n">
        <x:f>IF(E60=0.95,1.65,IF(E60=0.9,1.28,""))</x:f>
        <x:v>1.65</x:v>
      </x:c>
      <x:c r="I60" s="108" t="n">
        <x:v>2</x:v>
      </x:c>
      <x:c r="J60" s="103" t="n">
        <x:f>H60*G60*SQRT(I60)</x:f>
        <x:v>137.83838362372074</x:v>
      </x:c>
      <x:c r="K60" s="103" t="n">
        <x:f>N60+J60</x:f>
        <x:v>261.83838362372074</x:v>
      </x:c>
      <x:c r="L60" s="103" t="n">
        <x:f>K60*D60</x:f>
        <x:v>1571.0303017423244</x:v>
      </x:c>
      <x:c r="M60" s="108" t="n">
        <x:f>ROUNDUP(L60/'WH DATA'!$C$2,0)</x:f>
        <x:v>38</x:v>
      </x:c>
      <x:c r="N60" s="9">
        <x:v>124.0</x:v>
      </x:c>
      <x:c r="O60" s="9">
        <x:v>151.0</x:v>
      </x:c>
      <x:c r="P60" s="9">
        <x:v>100.0</x:v>
      </x:c>
      <x:c r="Q60" s="9">
        <x:v>151.0</x:v>
      </x:c>
      <x:c r="R60" s="9">
        <x:v>136.0</x:v>
      </x:c>
      <x:c r="S60" s="9">
        <x:v>200.0</x:v>
      </x:c>
      <x:c r="T60" s="9">
        <x:v>82.0</x:v>
      </x:c>
    </x:row>
    <x:row r="61">
      <x:c r="B61" s="8" t="s">
        <x:v>72</x:v>
      </x:c>
      <x:c r="C61" s="10">
        <x:v>8753.0</x:v>
      </x:c>
      <x:c r="D61" s="9">
        <x:v>1.0</x:v>
      </x:c>
      <x:c r="E61" s="99" t="n">
        <x:v>0.95</x:v>
      </x:c>
      <x:c r="F61" s="103" t="n">
        <x:f>AVERAGE(R61:T61)</x:f>
        <x:v>90.66666666666667</x:v>
      </x:c>
      <x:c r="G61" s="103" t="n">
        <x:f>STDEV(R61:T61)</x:f>
        <x:v>29.484459183327974</x:v>
      </x:c>
      <x:c r="H61" s="103" t="n">
        <x:f>IF(E61=0.95,1.65,IF(E61=0.9,1.28,""))</x:f>
        <x:v>1.65</x:v>
      </x:c>
      <x:c r="I61" s="108" t="n">
        <x:v>2</x:v>
      </x:c>
      <x:c r="J61" s="103" t="n">
        <x:f>H61*G61*SQRT(I61)</x:f>
        <x:v>68.80058139289231</x:v>
      </x:c>
      <x:c r="K61" s="103" t="n">
        <x:f>N61+J61</x:f>
        <x:v>162.8005813928923</x:v>
      </x:c>
      <x:c r="L61" s="103" t="n">
        <x:f>K61*D61</x:f>
        <x:v>162.8005813928923</x:v>
      </x:c>
      <x:c r="M61" s="108" t="n">
        <x:f>ROUNDUP(L61/'WH DATA'!$C$2,0)</x:f>
        <x:v>4</x:v>
      </x:c>
      <x:c r="N61" s="9">
        <x:v>94.0</x:v>
      </x:c>
      <x:c r="O61" s="9">
        <x:v>100.0</x:v>
      </x:c>
      <x:c r="P61" s="9">
        <x:v>168.0</x:v>
      </x:c>
      <x:c r="Q61" s="9">
        <x:v>47.0</x:v>
      </x:c>
      <x:c r="R61" s="9">
        <x:v>68.0</x:v>
      </x:c>
      <x:c r="S61" s="9">
        <x:v>124.0</x:v>
      </x:c>
      <x:c r="T61" s="9">
        <x:v>80.0</x:v>
      </x:c>
    </x:row>
    <x:row r="62">
      <x:c r="B62" s="8" t="s">
        <x:v>73</x:v>
      </x:c>
      <x:c r="C62" s="10">
        <x:v>6691.0</x:v>
      </x:c>
      <x:c r="D62" s="9">
        <x:v>2.0</x:v>
      </x:c>
      <x:c r="E62" s="99" t="n">
        <x:v>0.95</x:v>
      </x:c>
      <x:c r="F62" s="103" t="n">
        <x:f>AVERAGE(R62:T62)</x:f>
        <x:v>124</x:v>
      </x:c>
      <x:c r="G62" s="103" t="n">
        <x:f>STDEV(R62:T62)</x:f>
        <x:v>80.876448982383</x:v>
      </x:c>
      <x:c r="H62" s="103" t="n">
        <x:f>IF(E62=0.95,1.65,IF(E62=0.9,1.28,""))</x:f>
        <x:v>1.65</x:v>
      </x:c>
      <x:c r="I62" s="108" t="n">
        <x:v>2</x:v>
      </x:c>
      <x:c r="J62" s="103" t="n">
        <x:f>H62*G62*SQRT(I62)</x:f>
        <x:v>188.72134219531185</x:v>
      </x:c>
      <x:c r="K62" s="103" t="n">
        <x:f>N62+J62</x:f>
        <x:v>335.7213421953119</x:v>
      </x:c>
      <x:c r="L62" s="103" t="n">
        <x:f>K62*D62</x:f>
        <x:v>671.4426843906238</x:v>
      </x:c>
      <x:c r="M62" s="108" t="n">
        <x:f>ROUNDUP(L62/'WH DATA'!$C$2,0)</x:f>
        <x:v>16</x:v>
      </x:c>
      <x:c r="N62" s="9">
        <x:v>147.0</x:v>
      </x:c>
      <x:c r="O62" s="9">
        <x:v>10.0</x:v>
      </x:c>
      <x:c r="P62" s="9">
        <x:v>174.0</x:v>
      </x:c>
      <x:c r="Q62" s="9">
        <x:v>28.0</x:v>
      </x:c>
      <x:c r="R62" s="9">
        <x:v>144.0</x:v>
      </x:c>
      <x:c r="S62" s="9">
        <x:v>193.0</x:v>
      </x:c>
      <x:c r="T62" s="9">
        <x:v>35.0</x:v>
      </x:c>
    </x:row>
    <x:row r="63">
      <x:c r="B63" s="8" t="s">
        <x:v>74</x:v>
      </x:c>
      <x:c r="C63" s="10">
        <x:v>7480.0</x:v>
      </x:c>
      <x:c r="D63" s="9">
        <x:v>2.0</x:v>
      </x:c>
      <x:c r="E63" s="99" t="n">
        <x:v>0.95</x:v>
      </x:c>
      <x:c r="F63" s="103" t="n">
        <x:f>AVERAGE(R63:T63)</x:f>
        <x:v>32</x:v>
      </x:c>
      <x:c r="G63" s="103" t="n">
        <x:f>STDEV(R63:T63)</x:f>
        <x:v>34.11744421846396</x:v>
      </x:c>
      <x:c r="H63" s="103" t="n">
        <x:f>IF(E63=0.95,1.65,IF(E63=0.9,1.28,""))</x:f>
        <x:v>1.65</x:v>
      </x:c>
      <x:c r="I63" s="108" t="n">
        <x:v>2</x:v>
      </x:c>
      <x:c r="J63" s="103" t="n">
        <x:f>H63*G63*SQRT(I63)</x:f>
        <x:v>79.6114313399778</x:v>
      </x:c>
      <x:c r="K63" s="103" t="n">
        <x:f>N63+J63</x:f>
        <x:v>220.6114313399778</x:v>
      </x:c>
      <x:c r="L63" s="103" t="n">
        <x:f>K63*D63</x:f>
        <x:v>441.2228626799556</x:v>
      </x:c>
      <x:c r="M63" s="108" t="n">
        <x:f>ROUNDUP(L63/'WH DATA'!$C$2,0)</x:f>
        <x:v>11</x:v>
      </x:c>
      <x:c r="N63" s="9">
        <x:v>141.0</x:v>
      </x:c>
      <x:c r="O63" s="9">
        <x:v>84.0</x:v>
      </x:c>
      <x:c r="P63" s="9">
        <x:v>86.0</x:v>
      </x:c>
      <x:c r="Q63" s="9">
        <x:v>121.0</x:v>
      </x:c>
      <x:c r="R63" s="9">
        <x:v>22.0</x:v>
      </x:c>
      <x:c r="S63" s="9">
        <x:v>70.0</x:v>
      </x:c>
      <x:c r="T63" s="9">
        <x:v>4.0</x:v>
      </x:c>
    </x:row>
    <x:row r="64">
      <x:c r="B64" s="8" t="s">
        <x:v>75</x:v>
      </x:c>
      <x:c r="C64" s="10">
        <x:v>3203.0</x:v>
      </x:c>
      <x:c r="D64" s="9">
        <x:v>7.0</x:v>
      </x:c>
      <x:c r="E64" s="99" t="n">
        <x:v>0.95</x:v>
      </x:c>
      <x:c r="F64" s="103" t="n">
        <x:f>AVERAGE(R64:T64)</x:f>
        <x:v>154</x:v>
      </x:c>
      <x:c r="G64" s="103" t="n">
        <x:f>STDEV(R64:T64)</x:f>
        <x:v>30.199337741083</x:v>
      </x:c>
      <x:c r="H64" s="103" t="n">
        <x:f>IF(E64=0.95,1.65,IF(E64=0.9,1.28,""))</x:f>
        <x:v>1.65</x:v>
      </x:c>
      <x:c r="I64" s="108" t="n">
        <x:v>2</x:v>
      </x:c>
      <x:c r="J64" s="103" t="n">
        <x:f>H64*G64*SQRT(I64)</x:f>
        <x:v>70.46871646340666</x:v>
      </x:c>
      <x:c r="K64" s="103" t="n">
        <x:f>N64+J64</x:f>
        <x:v>160.46871646340668</x:v>
      </x:c>
      <x:c r="L64" s="103" t="n">
        <x:f>K64*D64</x:f>
        <x:v>1123.2810152438467</x:v>
      </x:c>
      <x:c r="M64" s="108" t="n">
        <x:f>ROUNDUP(L64/'WH DATA'!$C$2,0)</x:f>
        <x:v>27</x:v>
      </x:c>
      <x:c r="N64" s="9">
        <x:v>90.0</x:v>
      </x:c>
      <x:c r="O64" s="9">
        <x:v>195.0</x:v>
      </x:c>
      <x:c r="P64" s="9">
        <x:v>54.0</x:v>
      </x:c>
      <x:c r="Q64" s="9">
        <x:v>125.0</x:v>
      </x:c>
      <x:c r="R64" s="9">
        <x:v>186.0</x:v>
      </x:c>
      <x:c r="S64" s="9">
        <x:v>126.0</x:v>
      </x:c>
      <x:c r="T64" s="9">
        <x:v>150.0</x:v>
      </x:c>
    </x:row>
    <x:row r="65">
      <x:c r="B65" s="8" t="s">
        <x:v>76</x:v>
      </x:c>
      <x:c r="C65" s="10">
        <x:v>3331.0</x:v>
      </x:c>
      <x:c r="D65" s="9">
        <x:v>1.0</x:v>
      </x:c>
      <x:c r="E65" s="99" t="n">
        <x:v>0.95</x:v>
      </x:c>
      <x:c r="F65" s="103" t="n">
        <x:f>AVERAGE(R65:T65)</x:f>
        <x:v>73.33333333333333</x:v>
      </x:c>
      <x:c r="G65" s="103" t="n">
        <x:f>STDEV(R65:T65)</x:f>
        <x:v>105.793824646495</x:v>
      </x:c>
      <x:c r="H65" s="103" t="n">
        <x:f>IF(E65=0.95,1.65,IF(E65=0.9,1.28,""))</x:f>
        <x:v>1.65</x:v>
      </x:c>
      <x:c r="I65" s="108" t="n">
        <x:v>2</x:v>
      </x:c>
      <x:c r="J65" s="103" t="n">
        <x:f>H65*G65*SQRT(I65)</x:f>
        <x:v>246.8648516901505</x:v>
      </x:c>
      <x:c r="K65" s="103" t="n">
        <x:f>N65+J65</x:f>
        <x:v>402.8648516901505</x:v>
      </x:c>
      <x:c r="L65" s="103" t="n">
        <x:f>K65*D65</x:f>
        <x:v>402.8648516901505</x:v>
      </x:c>
      <x:c r="M65" s="108" t="n">
        <x:f>ROUNDUP(L65/'WH DATA'!$C$2,0)</x:f>
        <x:v>10</x:v>
      </x:c>
      <x:c r="N65" s="9">
        <x:v>156.0</x:v>
      </x:c>
      <x:c r="O65" s="9">
        <x:v>181.0</x:v>
      </x:c>
      <x:c r="P65" s="9">
        <x:v>93.0</x:v>
      </x:c>
      <x:c r="Q65" s="9">
        <x:v>185.0</x:v>
      </x:c>
      <x:c r="R65" s="9">
        <x:v>3.0</x:v>
      </x:c>
      <x:c r="S65" s="9">
        <x:v>195.0</x:v>
      </x:c>
      <x:c r="T65" s="9">
        <x:v>22.0</x:v>
      </x:c>
    </x:row>
    <x:row r="66">
      <x:c r="B66" s="8" t="s">
        <x:v>77</x:v>
      </x:c>
      <x:c r="C66" s="10">
        <x:v>1206.0</x:v>
      </x:c>
      <x:c r="D66" s="9">
        <x:v>7.0</x:v>
      </x:c>
      <x:c r="E66" s="99" t="n">
        <x:v>0.95</x:v>
      </x:c>
      <x:c r="F66" s="103" t="n">
        <x:f>AVERAGE(R66:T66)</x:f>
        <x:v>108</x:v>
      </x:c>
      <x:c r="G66" s="103" t="n">
        <x:f>STDEV(R66:T66)</x:f>
        <x:v>73.81734213584231</x:v>
      </x:c>
      <x:c r="H66" s="103" t="n">
        <x:f>IF(E66=0.95,1.65,IF(E66=0.9,1.28,""))</x:f>
        <x:v>1.65</x:v>
      </x:c>
      <x:c r="I66" s="108" t="n">
        <x:v>2</x:v>
      </x:c>
      <x:c r="J66" s="103" t="n">
        <x:f>H66*G66*SQRT(I66)</x:f>
        <x:v>172.24925253829116</x:v>
      </x:c>
      <x:c r="K66" s="103" t="n">
        <x:f>N66+J66</x:f>
        <x:v>370.24925253829116</x:v>
      </x:c>
      <x:c r="L66" s="103" t="n">
        <x:f>K66*D66</x:f>
        <x:v>2591.744767768038</x:v>
      </x:c>
      <x:c r="M66" s="108" t="n">
        <x:f>ROUNDUP(L66/'WH DATA'!$C$2,0)</x:f>
        <x:v>62</x:v>
      </x:c>
      <x:c r="N66" s="9">
        <x:v>198.0</x:v>
      </x:c>
      <x:c r="O66" s="9">
        <x:v>105.0</x:v>
      </x:c>
      <x:c r="P66" s="9">
        <x:v>31.0</x:v>
      </x:c>
      <x:c r="Q66" s="9">
        <x:v>156.0</x:v>
      </x:c>
      <x:c r="R66" s="9">
        <x:v>23.0</x:v>
      </x:c>
      <x:c r="S66" s="9">
        <x:v>156.0</x:v>
      </x:c>
      <x:c r="T66" s="9">
        <x:v>145.0</x:v>
      </x:c>
    </x:row>
    <x:row r="67">
      <x:c r="B67" s="8" t="s">
        <x:v>78</x:v>
      </x:c>
      <x:c r="C67" s="10">
        <x:v>5309.0</x:v>
      </x:c>
      <x:c r="D67" s="9">
        <x:v>8.0</x:v>
      </x:c>
      <x:c r="E67" s="99" t="n">
        <x:v>0.95</x:v>
      </x:c>
      <x:c r="F67" s="103" t="n">
        <x:f>AVERAGE(R67:T67)</x:f>
        <x:v>101</x:v>
      </x:c>
      <x:c r="G67" s="103" t="n">
        <x:f>STDEV(R67:T67)</x:f>
        <x:v>43.485629810317796</x:v>
      </x:c>
      <x:c r="H67" s="103" t="n">
        <x:f>IF(E67=0.95,1.65,IF(E67=0.9,1.28,""))</x:f>
        <x:v>1.65</x:v>
      </x:c>
      <x:c r="I67" s="108" t="n">
        <x:v>2</x:v>
      </x:c>
      <x:c r="J67" s="103" t="n">
        <x:f>H67*G67*SQRT(I67)</x:f>
        <x:v>101.47164628604385</x:v>
      </x:c>
      <x:c r="K67" s="103" t="n">
        <x:f>N67+J67</x:f>
        <x:v>292.47164628604384</x:v>
      </x:c>
      <x:c r="L67" s="103" t="n">
        <x:f>K67*D67</x:f>
        <x:v>2339.7731702883507</x:v>
      </x:c>
      <x:c r="M67" s="108" t="n">
        <x:f>ROUNDUP(L67/'WH DATA'!$C$2,0)</x:f>
        <x:v>56</x:v>
      </x:c>
      <x:c r="N67" s="9">
        <x:v>191.0</x:v>
      </x:c>
      <x:c r="O67" s="9">
        <x:v>19.0</x:v>
      </x:c>
      <x:c r="P67" s="9">
        <x:v>143.0</x:v>
      </x:c>
      <x:c r="Q67" s="9">
        <x:v>168.0</x:v>
      </x:c>
      <x:c r="R67" s="9">
        <x:v>122.0</x:v>
      </x:c>
      <x:c r="S67" s="9">
        <x:v>51.0</x:v>
      </x:c>
      <x:c r="T67" s="9">
        <x:v>130.0</x:v>
      </x:c>
    </x:row>
    <x:row r="68">
      <x:c r="B68" s="8" t="s">
        <x:v>79</x:v>
      </x:c>
      <x:c r="C68" s="10">
        <x:v>7927.0</x:v>
      </x:c>
      <x:c r="D68" s="9">
        <x:v>11.0</x:v>
      </x:c>
      <x:c r="E68" s="99" t="n">
        <x:v>0.95</x:v>
      </x:c>
      <x:c r="F68" s="103" t="n">
        <x:f>AVERAGE(R68:T68)</x:f>
        <x:v>60.666666666666664</x:v>
      </x:c>
      <x:c r="G68" s="103" t="n">
        <x:f>STDEV(R68:T68)</x:f>
        <x:v>49.92327446525651</x:v>
      </x:c>
      <x:c r="H68" s="103" t="n">
        <x:f>IF(E68=0.95,1.65,IF(E68=0.9,1.28,""))</x:f>
        <x:v>1.65</x:v>
      </x:c>
      <x:c r="I68" s="108" t="n">
        <x:v>2</x:v>
      </x:c>
      <x:c r="J68" s="103" t="n">
        <x:f>H68*G68*SQRT(I68)</x:f>
        <x:v>116.4935835142863</x:v>
      </x:c>
      <x:c r="K68" s="103" t="n">
        <x:f>N68+J68</x:f>
        <x:v>130.49358351428629</x:v>
      </x:c>
      <x:c r="L68" s="103" t="n">
        <x:f>K68*D68</x:f>
        <x:v>1435.4294186571492</x:v>
      </x:c>
      <x:c r="M68" s="108" t="n">
        <x:f>ROUNDUP(L68/'WH DATA'!$C$2,0)</x:f>
        <x:v>35</x:v>
      </x:c>
      <x:c r="N68" s="9">
        <x:v>14.0</x:v>
      </x:c>
      <x:c r="O68" s="9">
        <x:v>57.0</x:v>
      </x:c>
      <x:c r="P68" s="9">
        <x:v>137.0</x:v>
      </x:c>
      <x:c r="Q68" s="9">
        <x:v>191.0</x:v>
      </x:c>
      <x:c r="R68" s="9">
        <x:v>47.0</x:v>
      </x:c>
      <x:c r="S68" s="9">
        <x:v>19.0</x:v>
      </x:c>
      <x:c r="T68" s="9">
        <x:v>116.0</x:v>
      </x:c>
    </x:row>
    <x:row r="69">
      <x:c r="B69" s="8" t="s">
        <x:v>80</x:v>
      </x:c>
      <x:c r="C69" s="10">
        <x:v>6776.0</x:v>
      </x:c>
      <x:c r="D69" s="9">
        <x:v>11.0</x:v>
      </x:c>
      <x:c r="E69" s="99" t="n">
        <x:v>0.95</x:v>
      </x:c>
      <x:c r="F69" s="103" t="n">
        <x:f>AVERAGE(R69:T69)</x:f>
        <x:v>92.66666666666667</x:v>
      </x:c>
      <x:c r="G69" s="103" t="n">
        <x:f>STDEV(R69:T69)</x:f>
        <x:v>88.57953111940327</x:v>
      </x:c>
      <x:c r="H69" s="103" t="n">
        <x:f>IF(E69=0.95,1.65,IF(E69=0.9,1.28,""))</x:f>
        <x:v>1.65</x:v>
      </x:c>
      <x:c r="I69" s="108" t="n">
        <x:v>2</x:v>
      </x:c>
      <x:c r="J69" s="103" t="n">
        <x:f>H69*G69*SQRT(I69)</x:f>
        <x:v>206.69611752522104</x:v>
      </x:c>
      <x:c r="K69" s="103" t="n">
        <x:f>N69+J69</x:f>
        <x:v>251.69611752522104</x:v>
      </x:c>
      <x:c r="L69" s="103" t="n">
        <x:f>K69*D69</x:f>
        <x:v>2768.6572927774314</x:v>
      </x:c>
      <x:c r="M69" s="108" t="n">
        <x:f>ROUNDUP(L69/'WH DATA'!$C$2,0)</x:f>
        <x:v>66</x:v>
      </x:c>
      <x:c r="N69" s="9">
        <x:v>45.0</x:v>
      </x:c>
      <x:c r="O69" s="9">
        <x:v>36.0</x:v>
      </x:c>
      <x:c r="P69" s="9">
        <x:v>149.0</x:v>
      </x:c>
      <x:c r="Q69" s="9">
        <x:v>4.0</x:v>
      </x:c>
      <x:c r="R69" s="9">
        <x:v>179.0</x:v>
      </x:c>
      <x:c r="S69" s="9">
        <x:v>97.0</x:v>
      </x:c>
      <x:c r="T69" s="9">
        <x:v>2.0</x:v>
      </x:c>
    </x:row>
    <x:row r="70">
      <x:c r="B70" s="8" t="s">
        <x:v>81</x:v>
      </x:c>
      <x:c r="C70" s="10">
        <x:v>8163.0</x:v>
      </x:c>
      <x:c r="D70" s="9">
        <x:v>12.0</x:v>
      </x:c>
      <x:c r="E70" s="99" t="n">
        <x:v>0.95</x:v>
      </x:c>
      <x:c r="F70" s="103" t="n">
        <x:f>AVERAGE(R70:T70)</x:f>
        <x:v>26.333333333333332</x:v>
      </x:c>
      <x:c r="G70" s="103" t="n">
        <x:f>STDEV(R70:T70)</x:f>
        <x:v>16.921386861996076</x:v>
      </x:c>
      <x:c r="H70" s="103" t="n">
        <x:f>IF(E70=0.95,1.65,IF(E70=0.9,1.28,""))</x:f>
        <x:v>1.65</x:v>
      </x:c>
      <x:c r="I70" s="108" t="n">
        <x:v>2</x:v>
      </x:c>
      <x:c r="J70" s="103" t="n">
        <x:f>H70*G70*SQRT(I70)</x:f>
        <x:v>39.48525041075465</x:v>
      </x:c>
      <x:c r="K70" s="103" t="n">
        <x:f>N70+J70</x:f>
        <x:v>92.48525041075465</x:v>
      </x:c>
      <x:c r="L70" s="103" t="n">
        <x:f>K70*D70</x:f>
        <x:v>1109.8230049290557</x:v>
      </x:c>
      <x:c r="M70" s="108" t="n">
        <x:f>ROUNDUP(L70/'WH DATA'!$C$2,0)</x:f>
        <x:v>27</x:v>
      </x:c>
      <x:c r="N70" s="9">
        <x:v>53.0</x:v>
      </x:c>
      <x:c r="O70" s="9">
        <x:v>69.0</x:v>
      </x:c>
      <x:c r="P70" s="9">
        <x:v>127.0</x:v>
      </x:c>
      <x:c r="Q70" s="9">
        <x:v>88.0</x:v>
      </x:c>
      <x:c r="R70" s="9">
        <x:v>45.0</x:v>
      </x:c>
      <x:c r="S70" s="9">
        <x:v>22.0</x:v>
      </x:c>
      <x:c r="T70" s="9">
        <x:v>12.0</x:v>
      </x:c>
    </x:row>
    <x:row r="71">
      <x:c r="B71" s="8" t="s">
        <x:v>82</x:v>
      </x:c>
      <x:c r="C71" s="10">
        <x:v>7237.0</x:v>
      </x:c>
      <x:c r="D71" s="9">
        <x:v>1.0</x:v>
      </x:c>
      <x:c r="E71" s="99" t="n">
        <x:v>0.95</x:v>
      </x:c>
      <x:c r="F71" s="103" t="n">
        <x:f>AVERAGE(R71:T71)</x:f>
        <x:v>67.66666666666667</x:v>
      </x:c>
      <x:c r="G71" s="103" t="n">
        <x:f>STDEV(R71:T71)</x:f>
        <x:v>65.60741827974435</x:v>
      </x:c>
      <x:c r="H71" s="103" t="n">
        <x:f>IF(E71=0.95,1.65,IF(E71=0.9,1.28,""))</x:f>
        <x:v>1.65</x:v>
      </x:c>
      <x:c r="I71" s="108" t="n">
        <x:v>2</x:v>
      </x:c>
      <x:c r="J71" s="103" t="n">
        <x:f>H71*G71*SQRT(I71)</x:f>
        <x:v>153.09178619377332</x:v>
      </x:c>
      <x:c r="K71" s="103" t="n">
        <x:f>N71+J71</x:f>
        <x:v>347.0917861937733</x:v>
      </x:c>
      <x:c r="L71" s="103" t="n">
        <x:f>K71*D71</x:f>
        <x:v>347.0917861937733</x:v>
      </x:c>
      <x:c r="M71" s="108" t="n">
        <x:f>ROUNDUP(L71/'WH DATA'!$C$2,0)</x:f>
        <x:v>9</x:v>
      </x:c>
      <x:c r="N71" s="9">
        <x:v>194.0</x:v>
      </x:c>
      <x:c r="O71" s="9">
        <x:v>184.0</x:v>
      </x:c>
      <x:c r="P71" s="9">
        <x:v>198.0</x:v>
      </x:c>
      <x:c r="Q71" s="9">
        <x:v>20.0</x:v>
      </x:c>
      <x:c r="R71" s="9">
        <x:v>51.0</x:v>
      </x:c>
      <x:c r="S71" s="9">
        <x:v>140.0</x:v>
      </x:c>
      <x:c r="T71" s="9">
        <x:v>12.0</x:v>
      </x:c>
    </x:row>
    <x:row r="72">
      <x:c r="B72" s="8" t="s">
        <x:v>83</x:v>
      </x:c>
      <x:c r="C72" s="10">
        <x:v>6431.0</x:v>
      </x:c>
      <x:c r="D72" s="9">
        <x:v>4.0</x:v>
      </x:c>
      <x:c r="E72" s="99" t="n">
        <x:v>0.95</x:v>
      </x:c>
      <x:c r="F72" s="103" t="n">
        <x:f>AVERAGE(R72:T72)</x:f>
        <x:v>77.33333333333333</x:v>
      </x:c>
      <x:c r="G72" s="103" t="n">
        <x:f>STDEV(R72:T72)</x:f>
        <x:v>94.30977326519948</x:v>
      </x:c>
      <x:c r="H72" s="103" t="n">
        <x:f>IF(E72=0.95,1.65,IF(E72=0.9,1.28,""))</x:f>
        <x:v>1.65</x:v>
      </x:c>
      <x:c r="I72" s="108" t="n">
        <x:v>2</x:v>
      </x:c>
      <x:c r="J72" s="103" t="n">
        <x:f>H72*G72*SQRT(I72)</x:f>
        <x:v>220.06736468636146</x:v>
      </x:c>
      <x:c r="K72" s="103" t="n">
        <x:f>N72+J72</x:f>
        <x:v>328.06736468636143</x:v>
      </x:c>
      <x:c r="L72" s="103" t="n">
        <x:f>K72*D72</x:f>
        <x:v>1312.2694587454457</x:v>
      </x:c>
      <x:c r="M72" s="108" t="n">
        <x:f>ROUNDUP(L72/'WH DATA'!$C$2,0)</x:f>
        <x:v>32</x:v>
      </x:c>
      <x:c r="N72" s="9">
        <x:v>108.0</x:v>
      </x:c>
      <x:c r="O72" s="9">
        <x:v>62.0</x:v>
      </x:c>
      <x:c r="P72" s="9">
        <x:v>43.0</x:v>
      </x:c>
      <x:c r="Q72" s="9">
        <x:v>181.0</x:v>
      </x:c>
      <x:c r="R72" s="9">
        <x:v>43.0</x:v>
      </x:c>
      <x:c r="S72" s="9">
        <x:v>184.0</x:v>
      </x:c>
      <x:c r="T72" s="9">
        <x:v>5.0</x:v>
      </x:c>
    </x:row>
    <x:row r="73">
      <x:c r="B73" s="8" t="s">
        <x:v>84</x:v>
      </x:c>
      <x:c r="C73" s="10">
        <x:v>9836.0</x:v>
      </x:c>
      <x:c r="D73" s="9">
        <x:v>2.0</x:v>
      </x:c>
      <x:c r="E73" s="99" t="n">
        <x:v>0.95</x:v>
      </x:c>
      <x:c r="F73" s="103" t="n">
        <x:f>AVERAGE(R73:T73)</x:f>
        <x:v>86.33333333333333</x:v>
      </x:c>
      <x:c r="G73" s="103" t="n">
        <x:f>STDEV(R73:T73)</x:f>
        <x:v>57.95112883571237</x:v>
      </x:c>
      <x:c r="H73" s="103" t="n">
        <x:f>IF(E73=0.95,1.65,IF(E73=0.9,1.28,""))</x:f>
        <x:v>1.65</x:v>
      </x:c>
      <x:c r="I73" s="108" t="n">
        <x:v>2</x:v>
      </x:c>
      <x:c r="J73" s="103" t="n">
        <x:f>H73*G73*SQRT(I73)</x:f>
        <x:v>135.22619938458672</x:v>
      </x:c>
      <x:c r="K73" s="103" t="n">
        <x:f>N73+J73</x:f>
        <x:v>193.22619938458672</x:v>
      </x:c>
      <x:c r="L73" s="103" t="n">
        <x:f>K73*D73</x:f>
        <x:v>386.45239876917344</x:v>
      </x:c>
      <x:c r="M73" s="108" t="n">
        <x:f>ROUNDUP(L73/'WH DATA'!$C$2,0)</x:f>
        <x:v>10</x:v>
      </x:c>
      <x:c r="N73" s="9">
        <x:v>58.0</x:v>
      </x:c>
      <x:c r="O73" s="9">
        <x:v>130.0</x:v>
      </x:c>
      <x:c r="P73" s="9">
        <x:v>116.0</x:v>
      </x:c>
      <x:c r="Q73" s="9">
        <x:v>5.0</x:v>
      </x:c>
      <x:c r="R73" s="9">
        <x:v>33.0</x:v>
      </x:c>
      <x:c r="S73" s="9">
        <x:v>148.0</x:v>
      </x:c>
      <x:c r="T73" s="9">
        <x:v>78.0</x:v>
      </x:c>
    </x:row>
    <x:row r="74">
      <x:c r="B74" s="8" t="s">
        <x:v>85</x:v>
      </x:c>
      <x:c r="C74" s="10">
        <x:v>9569.0</x:v>
      </x:c>
      <x:c r="D74" s="9">
        <x:v>3.0</x:v>
      </x:c>
      <x:c r="E74" s="99" t="n">
        <x:v>0.95</x:v>
      </x:c>
      <x:c r="F74" s="103" t="n">
        <x:f>AVERAGE(R74:T74)</x:f>
        <x:v>115</x:v>
      </x:c>
      <x:c r="G74" s="103" t="n">
        <x:f>STDEV(R74:T74)</x:f>
        <x:v>89.21322771876378</x:v>
      </x:c>
      <x:c r="H74" s="103" t="n">
        <x:f>IF(E74=0.95,1.65,IF(E74=0.9,1.28,""))</x:f>
        <x:v>1.65</x:v>
      </x:c>
      <x:c r="I74" s="108" t="n">
        <x:v>2</x:v>
      </x:c>
      <x:c r="J74" s="103" t="n">
        <x:f>H74*G74*SQRT(I74)</x:f>
        <x:v>208.17481836187588</x:v>
      </x:c>
      <x:c r="K74" s="103" t="n">
        <x:f>N74+J74</x:f>
        <x:v>285.17481836187585</x:v>
      </x:c>
      <x:c r="L74" s="103" t="n">
        <x:f>K74*D74</x:f>
        <x:v>855.5244550856276</x:v>
      </x:c>
      <x:c r="M74" s="108" t="n">
        <x:f>ROUNDUP(L74/'WH DATA'!$C$2,0)</x:f>
        <x:v>21</x:v>
      </x:c>
      <x:c r="N74" s="9">
        <x:v>77.0</x:v>
      </x:c>
      <x:c r="O74" s="9">
        <x:v>113.0</x:v>
      </x:c>
      <x:c r="P74" s="9">
        <x:v>195.0</x:v>
      </x:c>
      <x:c r="Q74" s="9">
        <x:v>180.0</x:v>
      </x:c>
      <x:c r="R74" s="9">
        <x:v>168.0</x:v>
      </x:c>
      <x:c r="S74" s="9">
        <x:v>12.0</x:v>
      </x:c>
      <x:c r="T74" s="9">
        <x:v>165.0</x:v>
      </x:c>
    </x:row>
    <x:row r="75">
      <x:c r="B75" s="8" t="s">
        <x:v>86</x:v>
      </x:c>
      <x:c r="C75" s="10">
        <x:v>6728.0</x:v>
      </x:c>
      <x:c r="D75" s="9">
        <x:v>1.0</x:v>
      </x:c>
      <x:c r="E75" s="99" t="n">
        <x:v>0.95</x:v>
      </x:c>
      <x:c r="F75" s="103" t="n">
        <x:f>AVERAGE(R75:T75)</x:f>
        <x:v>151.33333333333334</x:v>
      </x:c>
      <x:c r="G75" s="103" t="n">
        <x:f>STDEV(R75:T75)</x:f>
        <x:v>46.1988455844227</x:v>
      </x:c>
      <x:c r="H75" s="103" t="n">
        <x:f>IF(E75=0.95,1.65,IF(E75=0.9,1.28,""))</x:f>
        <x:v>1.65</x:v>
      </x:c>
      <x:c r="I75" s="108" t="n">
        <x:v>2</x:v>
      </x:c>
      <x:c r="J75" s="103" t="n">
        <x:f>H75*G75*SQRT(I75)</x:f>
        <x:v>107.80280608592709</x:v>
      </x:c>
      <x:c r="K75" s="103" t="n">
        <x:f>N75+J75</x:f>
        <x:v>291.8028060859271</x:v>
      </x:c>
      <x:c r="L75" s="103" t="n">
        <x:f>K75*D75</x:f>
        <x:v>291.8028060859271</x:v>
      </x:c>
      <x:c r="M75" s="108" t="n">
        <x:f>ROUNDUP(L75/'WH DATA'!$C$2,0)</x:f>
        <x:v>7</x:v>
      </x:c>
      <x:c r="N75" s="9">
        <x:v>184.0</x:v>
      </x:c>
      <x:c r="O75" s="9">
        <x:v>165.0</x:v>
      </x:c>
      <x:c r="P75" s="9">
        <x:v>0.0</x:v>
      </x:c>
      <x:c r="Q75" s="9">
        <x:v>137.0</x:v>
      </x:c>
      <x:c r="R75" s="9">
        <x:v>179.0</x:v>
      </x:c>
      <x:c r="S75" s="9">
        <x:v>98.0</x:v>
      </x:c>
      <x:c r="T75" s="9">
        <x:v>177.0</x:v>
      </x:c>
    </x:row>
    <x:row r="76">
      <x:c r="B76" s="8" t="s">
        <x:v>87</x:v>
      </x:c>
      <x:c r="C76" s="10">
        <x:v>5084.0</x:v>
      </x:c>
      <x:c r="D76" s="9">
        <x:v>4.0</x:v>
      </x:c>
      <x:c r="E76" s="99" t="n">
        <x:v>0.95</x:v>
      </x:c>
      <x:c r="F76" s="103" t="n">
        <x:f>AVERAGE(R76:T76)</x:f>
        <x:v>88.66666666666667</x:v>
      </x:c>
      <x:c r="G76" s="103" t="n">
        <x:f>STDEV(R76:T76)</x:f>
        <x:v>77.91234390860882</x:v>
      </x:c>
      <x:c r="H76" s="103" t="n">
        <x:f>IF(E76=0.95,1.65,IF(E76=0.9,1.28,""))</x:f>
        <x:v>1.65</x:v>
      </x:c>
      <x:c r="I76" s="108" t="n">
        <x:v>2</x:v>
      </x:c>
      <x:c r="J76" s="103" t="n">
        <x:f>H76*G76*SQRT(I76)</x:f>
        <x:v>181.80474416252179</x:v>
      </x:c>
      <x:c r="K76" s="103" t="n">
        <x:f>N76+J76</x:f>
        <x:v>360.8047441625218</x:v>
      </x:c>
      <x:c r="L76" s="103" t="n">
        <x:f>K76*D76</x:f>
        <x:v>1443.2189766500871</x:v>
      </x:c>
      <x:c r="M76" s="108" t="n">
        <x:f>ROUNDUP(L76/'WH DATA'!$C$2,0)</x:f>
        <x:v>35</x:v>
      </x:c>
      <x:c r="N76" s="9">
        <x:v>179.0</x:v>
      </x:c>
      <x:c r="O76" s="9">
        <x:v>90.0</x:v>
      </x:c>
      <x:c r="P76" s="9">
        <x:v>197.0</x:v>
      </x:c>
      <x:c r="Q76" s="9">
        <x:v>179.0</x:v>
      </x:c>
      <x:c r="R76" s="9">
        <x:v>115.0</x:v>
      </x:c>
      <x:c r="S76" s="9">
        <x:v>150.0</x:v>
      </x:c>
      <x:c r="T76" s="9">
        <x:v>1.0</x:v>
      </x:c>
    </x:row>
    <x:row r="77">
      <x:c r="B77" s="8" t="s">
        <x:v>88</x:v>
      </x:c>
      <x:c r="C77" s="10">
        <x:v>5457.0</x:v>
      </x:c>
      <x:c r="D77" s="9">
        <x:v>4.0</x:v>
      </x:c>
      <x:c r="E77" s="99" t="n">
        <x:v>0.95</x:v>
      </x:c>
      <x:c r="F77" s="103" t="n">
        <x:f>AVERAGE(R77:T77)</x:f>
        <x:v>125</x:v>
      </x:c>
      <x:c r="G77" s="103" t="n">
        <x:f>STDEV(R77:T77)</x:f>
        <x:v>21.656407827707714</x:v>
      </x:c>
      <x:c r="H77" s="103" t="n">
        <x:f>IF(E77=0.95,1.65,IF(E77=0.9,1.28,""))</x:f>
        <x:v>1.65</x:v>
      </x:c>
      <x:c r="I77" s="108" t="n">
        <x:v>2</x:v>
      </x:c>
      <x:c r="J77" s="103" t="n">
        <x:f>H77*G77*SQRT(I77)</x:f>
        <x:v>50.534196342674726</x:v>
      </x:c>
      <x:c r="K77" s="103" t="n">
        <x:f>N77+J77</x:f>
        <x:v>77.53419634267473</x:v>
      </x:c>
      <x:c r="L77" s="103" t="n">
        <x:f>K77*D77</x:f>
        <x:v>310.13678537069893</x:v>
      </x:c>
      <x:c r="M77" s="108" t="n">
        <x:f>ROUNDUP(L77/'WH DATA'!$C$2,0)</x:f>
        <x:v>8</x:v>
      </x:c>
      <x:c r="N77" s="9">
        <x:v>27.0</x:v>
      </x:c>
      <x:c r="O77" s="9">
        <x:v>53.0</x:v>
      </x:c>
      <x:c r="P77" s="9">
        <x:v>92.0</x:v>
      </x:c>
      <x:c r="Q77" s="9">
        <x:v>136.0</x:v>
      </x:c>
      <x:c r="R77" s="9">
        <x:v>100.0</x:v>
      </x:c>
      <x:c r="S77" s="9">
        <x:v>137.0</x:v>
      </x:c>
      <x:c r="T77" s="9">
        <x:v>138.0</x:v>
      </x:c>
    </x:row>
    <x:row r="78">
      <x:c r="B78" s="8" t="s">
        <x:v>89</x:v>
      </x:c>
      <x:c r="C78" s="10">
        <x:v>8974.0</x:v>
      </x:c>
      <x:c r="D78" s="9">
        <x:v>2.0</x:v>
      </x:c>
      <x:c r="E78" s="99" t="n">
        <x:v>0.95</x:v>
      </x:c>
      <x:c r="F78" s="103" t="n">
        <x:f>AVERAGE(R78:T78)</x:f>
        <x:v>123.66666666666667</x:v>
      </x:c>
      <x:c r="G78" s="103" t="n">
        <x:f>STDEV(R78:T78)</x:f>
        <x:v>31.069813860616115</x:v>
      </x:c>
      <x:c r="H78" s="103" t="n">
        <x:f>IF(E78=0.95,1.65,IF(E78=0.9,1.28,""))</x:f>
        <x:v>1.65</x:v>
      </x:c>
      <x:c r="I78" s="108" t="n">
        <x:v>2</x:v>
      </x:c>
      <x:c r="J78" s="103" t="n">
        <x:f>H78*G78*SQRT(I78)</x:f>
        <x:v>72.49993103444996</x:v>
      </x:c>
      <x:c r="K78" s="103" t="n">
        <x:f>N78+J78</x:f>
        <x:v>189.49993103444996</x:v>
      </x:c>
      <x:c r="L78" s="103" t="n">
        <x:f>K78*D78</x:f>
        <x:v>378.9998620688999</x:v>
      </x:c>
      <x:c r="M78" s="108" t="n">
        <x:f>ROUNDUP(L78/'WH DATA'!$C$2,0)</x:f>
        <x:v>10</x:v>
      </x:c>
      <x:c r="N78" s="9">
        <x:v>117.0</x:v>
      </x:c>
      <x:c r="O78" s="9">
        <x:v>191.0</x:v>
      </x:c>
      <x:c r="P78" s="9">
        <x:v>166.0</x:v>
      </x:c>
      <x:c r="Q78" s="9">
        <x:v>126.0</x:v>
      </x:c>
      <x:c r="R78" s="9">
        <x:v>149.0</x:v>
      </x:c>
      <x:c r="S78" s="9">
        <x:v>133.0</x:v>
      </x:c>
      <x:c r="T78" s="9">
        <x:v>89.0</x:v>
      </x:c>
    </x:row>
    <x:row r="79">
      <x:c r="B79" s="8" t="s">
        <x:v>90</x:v>
      </x:c>
      <x:c r="C79" s="10">
        <x:v>2477.0</x:v>
      </x:c>
      <x:c r="D79" s="9">
        <x:v>10.0</x:v>
      </x:c>
      <x:c r="E79" s="99" t="n">
        <x:v>0.95</x:v>
      </x:c>
      <x:c r="F79" s="103" t="n">
        <x:f>AVERAGE(R79:T79)</x:f>
        <x:v>89.66666666666667</x:v>
      </x:c>
      <x:c r="G79" s="103" t="n">
        <x:f>STDEV(R79:T79)</x:f>
        <x:v>83.05018563093844</x:v>
      </x:c>
      <x:c r="H79" s="103" t="n">
        <x:f>IF(E79=0.95,1.65,IF(E79=0.9,1.28,""))</x:f>
        <x:v>1.65</x:v>
      </x:c>
      <x:c r="I79" s="108" t="n">
        <x:v>2</x:v>
      </x:c>
      <x:c r="J79" s="103" t="n">
        <x:f>H79*G79*SQRT(I79)</x:f>
        <x:v>193.79365314684586</x:v>
      </x:c>
      <x:c r="K79" s="103" t="n">
        <x:f>N79+J79</x:f>
        <x:v>355.7936531468458</x:v>
      </x:c>
      <x:c r="L79" s="103" t="n">
        <x:f>K79*D79</x:f>
        <x:v>3557.9365314684583</x:v>
      </x:c>
      <x:c r="M79" s="108" t="n">
        <x:f>ROUNDUP(L79/'WH DATA'!$C$2,0)</x:f>
        <x:v>85</x:v>
      </x:c>
      <x:c r="N79" s="9">
        <x:v>162.0</x:v>
      </x:c>
      <x:c r="O79" s="9">
        <x:v>103.0</x:v>
      </x:c>
      <x:c r="P79" s="9">
        <x:v>156.0</x:v>
      </x:c>
      <x:c r="Q79" s="9">
        <x:v>20.0</x:v>
      </x:c>
      <x:c r="R79" s="9">
        <x:v>93.0</x:v>
      </x:c>
      <x:c r="S79" s="9">
        <x:v>5.0</x:v>
      </x:c>
      <x:c r="T79" s="9">
        <x:v>171.0</x:v>
      </x:c>
    </x:row>
    <x:row r="80">
      <x:c r="B80" s="8" t="s">
        <x:v>91</x:v>
      </x:c>
      <x:c r="C80" s="10">
        <x:v>6987.0</x:v>
      </x:c>
      <x:c r="D80" s="9">
        <x:v>6.0</x:v>
      </x:c>
      <x:c r="E80" s="99" t="n">
        <x:v>0.95</x:v>
      </x:c>
      <x:c r="F80" s="103" t="n">
        <x:f>AVERAGE(R80:T80)</x:f>
        <x:v>95.66666666666667</x:v>
      </x:c>
      <x:c r="G80" s="103" t="n">
        <x:f>STDEV(R80:T80)</x:f>
        <x:v>68.09062588442946</x:v>
      </x:c>
      <x:c r="H80" s="103" t="n">
        <x:f>IF(E80=0.95,1.65,IF(E80=0.9,1.28,""))</x:f>
        <x:v>1.65</x:v>
      </x:c>
      <x:c r="I80" s="108" t="n">
        <x:v>2</x:v>
      </x:c>
      <x:c r="J80" s="103" t="n">
        <x:f>H80*G80*SQRT(I80)</x:f>
        <x:v>158.8862328837839</x:v>
      </x:c>
      <x:c r="K80" s="103" t="n">
        <x:f>N80+J80</x:f>
        <x:v>181.8862328837839</x:v>
      </x:c>
      <x:c r="L80" s="103" t="n">
        <x:f>K80*D80</x:f>
        <x:v>1091.3173973027033</x:v>
      </x:c>
      <x:c r="M80" s="108" t="n">
        <x:f>ROUNDUP(L80/'WH DATA'!$C$2,0)</x:f>
        <x:v>26</x:v>
      </x:c>
      <x:c r="N80" s="9">
        <x:v>23.0</x:v>
      </x:c>
      <x:c r="O80" s="9">
        <x:v>13.0</x:v>
      </x:c>
      <x:c r="P80" s="9">
        <x:v>51.0</x:v>
      </x:c>
      <x:c r="Q80" s="9">
        <x:v>70.0</x:v>
      </x:c>
      <x:c r="R80" s="9">
        <x:v>158.0</x:v>
      </x:c>
      <x:c r="S80" s="9">
        <x:v>106.0</x:v>
      </x:c>
      <x:c r="T80" s="9">
        <x:v>23.0</x:v>
      </x:c>
    </x:row>
    <x:row r="81">
      <x:c r="B81" s="8" t="s">
        <x:v>92</x:v>
      </x:c>
      <x:c r="C81" s="10">
        <x:v>4369.0</x:v>
      </x:c>
      <x:c r="D81" s="9">
        <x:v>2.0</x:v>
      </x:c>
      <x:c r="E81" s="99" t="n">
        <x:v>0.95</x:v>
      </x:c>
      <x:c r="F81" s="103" t="n">
        <x:f>AVERAGE(R81:T81)</x:f>
        <x:v>71.33333333333333</x:v>
      </x:c>
      <x:c r="G81" s="103" t="n">
        <x:f>STDEV(R81:T81)</x:f>
        <x:v>54.30776494511014</x:v>
      </x:c>
      <x:c r="H81" s="103" t="n">
        <x:f>IF(E81=0.95,1.65,IF(E81=0.9,1.28,""))</x:f>
        <x:v>1.65</x:v>
      </x:c>
      <x:c r="I81" s="108" t="n">
        <x:v>2</x:v>
      </x:c>
      <x:c r="J81" s="103" t="n">
        <x:f>H81*G81*SQRT(I81)</x:f>
        <x:v>126.72458325044909</x:v>
      </x:c>
      <x:c r="K81" s="103" t="n">
        <x:f>N81+J81</x:f>
        <x:v>303.7245832504491</x:v>
      </x:c>
      <x:c r="L81" s="103" t="n">
        <x:f>K81*D81</x:f>
        <x:v>607.4491665008982</x:v>
      </x:c>
      <x:c r="M81" s="108" t="n">
        <x:f>ROUNDUP(L81/'WH DATA'!$C$2,0)</x:f>
        <x:v>15</x:v>
      </x:c>
      <x:c r="N81" s="9">
        <x:v>177.0</x:v>
      </x:c>
      <x:c r="O81" s="9">
        <x:v>154.0</x:v>
      </x:c>
      <x:c r="P81" s="9">
        <x:v>4.0</x:v>
      </x:c>
      <x:c r="Q81" s="9">
        <x:v>38.0</x:v>
      </x:c>
      <x:c r="R81" s="9">
        <x:v>38.0</x:v>
      </x:c>
      <x:c r="S81" s="9">
        <x:v>42.0</x:v>
      </x:c>
      <x:c r="T81" s="9">
        <x:v>134.0</x:v>
      </x:c>
    </x:row>
    <x:row r="82">
      <x:c r="B82" s="8" t="s">
        <x:v>93</x:v>
      </x:c>
      <x:c r="C82" s="10">
        <x:v>5685.0</x:v>
      </x:c>
      <x:c r="D82" s="9">
        <x:v>4.0</x:v>
      </x:c>
      <x:c r="E82" s="99" t="n">
        <x:v>0.95</x:v>
      </x:c>
      <x:c r="F82" s="103" t="n">
        <x:f>AVERAGE(R82:T82)</x:f>
        <x:v>103</x:v>
      </x:c>
      <x:c r="G82" s="103" t="n">
        <x:f>STDEV(R82:T82)</x:f>
        <x:v>74.50503338701353</x:v>
      </x:c>
      <x:c r="H82" s="103" t="n">
        <x:f>IF(E82=0.95,1.65,IF(E82=0.9,1.28,""))</x:f>
        <x:v>1.65</x:v>
      </x:c>
      <x:c r="I82" s="108" t="n">
        <x:v>2</x:v>
      </x:c>
      <x:c r="J82" s="103" t="n">
        <x:f>H82*G82*SQRT(I82)</x:f>
        <x:v>173.8539473236084</x:v>
      </x:c>
      <x:c r="K82" s="103" t="n">
        <x:f>N82+J82</x:f>
        <x:v>200.8539473236084</x:v>
      </x:c>
      <x:c r="L82" s="103" t="n">
        <x:f>K82*D82</x:f>
        <x:v>803.4157892944336</x:v>
      </x:c>
      <x:c r="M82" s="108" t="n">
        <x:f>ROUNDUP(L82/'WH DATA'!$C$2,0)</x:f>
        <x:v>20</x:v>
      </x:c>
      <x:c r="N82" s="9">
        <x:v>27.0</x:v>
      </x:c>
      <x:c r="O82" s="9">
        <x:v>187.0</x:v>
      </x:c>
      <x:c r="P82" s="9">
        <x:v>130.0</x:v>
      </x:c>
      <x:c r="Q82" s="9">
        <x:v>63.0</x:v>
      </x:c>
      <x:c r="R82" s="9">
        <x:v>104.0</x:v>
      </x:c>
      <x:c r="S82" s="9">
        <x:v>177.0</x:v>
      </x:c>
      <x:c r="T82" s="9">
        <x:v>28.0</x:v>
      </x:c>
    </x:row>
    <x:row r="83">
      <x:c r="B83" s="8" t="s">
        <x:v>94</x:v>
      </x:c>
      <x:c r="C83" s="10">
        <x:v>2156.0</x:v>
      </x:c>
      <x:c r="D83" s="9">
        <x:v>2.0</x:v>
      </x:c>
      <x:c r="E83" s="99" t="n">
        <x:v>0.95</x:v>
      </x:c>
      <x:c r="F83" s="103" t="n">
        <x:f>AVERAGE(R83:T83)</x:f>
        <x:v>146.33333333333334</x:v>
      </x:c>
      <x:c r="G83" s="103" t="n">
        <x:f>STDEV(R83:T83)</x:f>
        <x:v>37.501111094650696</x:v>
      </x:c>
      <x:c r="H83" s="103" t="n">
        <x:f>IF(E83=0.95,1.65,IF(E83=0.9,1.28,""))</x:f>
        <x:v>1.65</x:v>
      </x:c>
      <x:c r="I83" s="108" t="n">
        <x:v>2</x:v>
      </x:c>
      <x:c r="J83" s="103" t="n">
        <x:f>H83*G83*SQRT(I83)</x:f>
        <x:v>87.50705685829001</x:v>
      </x:c>
      <x:c r="K83" s="103" t="n">
        <x:f>N83+J83</x:f>
        <x:v>257.50705685829</x:v>
      </x:c>
      <x:c r="L83" s="103" t="n">
        <x:f>K83*D83</x:f>
        <x:v>515.01411371658</x:v>
      </x:c>
      <x:c r="M83" s="108" t="n">
        <x:f>ROUNDUP(L83/'WH DATA'!$C$2,0)</x:f>
        <x:v>13</x:v>
      </x:c>
      <x:c r="N83" s="9">
        <x:v>170.0</x:v>
      </x:c>
      <x:c r="O83" s="9">
        <x:v>93.0</x:v>
      </x:c>
      <x:c r="P83" s="9">
        <x:v>75.0</x:v>
      </x:c>
      <x:c r="Q83" s="9">
        <x:v>98.0</x:v>
      </x:c>
      <x:c r="R83" s="9">
        <x:v>109.0</x:v>
      </x:c>
      <x:c r="S83" s="9">
        <x:v>184.0</x:v>
      </x:c>
      <x:c r="T83" s="9">
        <x:v>146.0</x:v>
      </x:c>
    </x:row>
    <x:row r="84">
      <x:c r="B84" s="8" t="s">
        <x:v>95</x:v>
      </x:c>
      <x:c r="C84" s="10">
        <x:v>6174.0</x:v>
      </x:c>
      <x:c r="D84" s="9">
        <x:v>1.0</x:v>
      </x:c>
      <x:c r="E84" s="99" t="n">
        <x:v>0.95</x:v>
      </x:c>
      <x:c r="F84" s="103" t="n">
        <x:f>AVERAGE(R84:T84)</x:f>
        <x:v>111</x:v>
      </x:c>
      <x:c r="G84" s="103" t="n">
        <x:f>STDEV(R84:T84)</x:f>
        <x:v>62.02418882984283</x:v>
      </x:c>
      <x:c r="H84" s="103" t="n">
        <x:f>IF(E84=0.95,1.65,IF(E84=0.9,1.28,""))</x:f>
        <x:v>1.65</x:v>
      </x:c>
      <x:c r="I84" s="108" t="n">
        <x:v>2</x:v>
      </x:c>
      <x:c r="J84" s="103" t="n">
        <x:f>H84*G84*SQRT(I84)</x:f>
        <x:v>144.73049091328335</x:v>
      </x:c>
      <x:c r="K84" s="103" t="n">
        <x:f>N84+J84</x:f>
        <x:v>303.73049091328335</x:v>
      </x:c>
      <x:c r="L84" s="103" t="n">
        <x:f>K84*D84</x:f>
        <x:v>303.73049091328335</x:v>
      </x:c>
      <x:c r="M84" s="108" t="n">
        <x:f>ROUNDUP(L84/'WH DATA'!$C$2,0)</x:f>
        <x:v>8</x:v>
      </x:c>
      <x:c r="N84" s="9">
        <x:v>159.0</x:v>
      </x:c>
      <x:c r="O84" s="9">
        <x:v>200.0</x:v>
      </x:c>
      <x:c r="P84" s="9">
        <x:v>171.0</x:v>
      </x:c>
      <x:c r="Q84" s="9">
        <x:v>191.0</x:v>
      </x:c>
      <x:c r="R84" s="9">
        <x:v>48.0</x:v>
      </x:c>
      <x:c r="S84" s="9">
        <x:v>113.0</x:v>
      </x:c>
      <x:c r="T84" s="9">
        <x:v>172.0</x:v>
      </x:c>
    </x:row>
    <x:row r="85">
      <x:c r="B85" s="8" t="s">
        <x:v>96</x:v>
      </x:c>
      <x:c r="C85" s="10">
        <x:v>2232.0</x:v>
      </x:c>
      <x:c r="D85" s="9">
        <x:v>1.0</x:v>
      </x:c>
      <x:c r="E85" s="99" t="n">
        <x:v>0.95</x:v>
      </x:c>
      <x:c r="F85" s="103" t="n">
        <x:f>AVERAGE(R85:T85)</x:f>
        <x:v>100</x:v>
      </x:c>
      <x:c r="G85" s="103" t="n">
        <x:f>STDEV(R85:T85)</x:f>
        <x:v>72.85602240034794</x:v>
      </x:c>
      <x:c r="H85" s="103" t="n">
        <x:f>IF(E85=0.95,1.65,IF(E85=0.9,1.28,""))</x:f>
        <x:v>1.65</x:v>
      </x:c>
      <x:c r="I85" s="108" t="n">
        <x:v>2</x:v>
      </x:c>
      <x:c r="J85" s="103" t="n">
        <x:f>H85*G85*SQRT(I85)</x:f>
        <x:v>170.00605871556462</x:v>
      </x:c>
      <x:c r="K85" s="103" t="n">
        <x:f>N85+J85</x:f>
        <x:v>270.0060587155646</x:v>
      </x:c>
      <x:c r="L85" s="103" t="n">
        <x:f>K85*D85</x:f>
        <x:v>270.0060587155646</x:v>
      </x:c>
      <x:c r="M85" s="108" t="n">
        <x:f>ROUNDUP(L85/'WH DATA'!$C$2,0)</x:f>
        <x:v>7</x:v>
      </x:c>
      <x:c r="N85" s="9">
        <x:v>100.0</x:v>
      </x:c>
      <x:c r="O85" s="9">
        <x:v>168.0</x:v>
      </x:c>
      <x:c r="P85" s="9">
        <x:v>179.0</x:v>
      </x:c>
      <x:c r="Q85" s="9">
        <x:v>79.0</x:v>
      </x:c>
      <x:c r="R85" s="9">
        <x:v>146.0</x:v>
      </x:c>
      <x:c r="S85" s="9">
        <x:v>16.0</x:v>
      </x:c>
      <x:c r="T85" s="9">
        <x:v>138.0</x:v>
      </x:c>
    </x:row>
    <x:row r="86">
      <x:c r="B86" s="8" t="s">
        <x:v>97</x:v>
      </x:c>
      <x:c r="C86" s="10">
        <x:v>3977.0</x:v>
      </x:c>
      <x:c r="D86" s="9">
        <x:v>9.0</x:v>
      </x:c>
      <x:c r="E86" s="99" t="n">
        <x:v>0.95</x:v>
      </x:c>
      <x:c r="F86" s="103" t="n">
        <x:f>AVERAGE(R86:T86)</x:f>
        <x:v>77</x:v>
      </x:c>
      <x:c r="G86" s="103" t="n">
        <x:f>STDEV(R86:T86)</x:f>
        <x:v>59.57348403442592</x:v>
      </x:c>
      <x:c r="H86" s="103" t="n">
        <x:f>IF(E86=0.95,1.65,IF(E86=0.9,1.28,""))</x:f>
        <x:v>1.65</x:v>
      </x:c>
      <x:c r="I86" s="108" t="n">
        <x:v>2</x:v>
      </x:c>
      <x:c r="J86" s="103" t="n">
        <x:f>H86*G86*SQRT(I86)</x:f>
        <x:v>139.0118879808486</x:v>
      </x:c>
      <x:c r="K86" s="103" t="n">
        <x:f>N86+J86</x:f>
        <x:v>253.0118879808486</x:v>
      </x:c>
      <x:c r="L86" s="103" t="n">
        <x:f>K86*D86</x:f>
        <x:v>2277.1069918276376</x:v>
      </x:c>
      <x:c r="M86" s="108" t="n">
        <x:f>ROUNDUP(L86/'WH DATA'!$C$2,0)</x:f>
        <x:v>55</x:v>
      </x:c>
      <x:c r="N86" s="9">
        <x:v>114.0</x:v>
      </x:c>
      <x:c r="O86" s="9">
        <x:v>181.0</x:v>
      </x:c>
      <x:c r="P86" s="9">
        <x:v>116.0</x:v>
      </x:c>
      <x:c r="Q86" s="9">
        <x:v>160.0</x:v>
      </x:c>
      <x:c r="R86" s="9">
        <x:v>129.0</x:v>
      </x:c>
      <x:c r="S86" s="9">
        <x:v>12.0</x:v>
      </x:c>
      <x:c r="T86" s="9">
        <x:v>90.0</x:v>
      </x:c>
    </x:row>
    <x:row r="87">
      <x:c r="B87" s="8" t="s">
        <x:v>98</x:v>
      </x:c>
      <x:c r="C87" s="10">
        <x:v>2721.0</x:v>
      </x:c>
      <x:c r="D87" s="9">
        <x:v>10.0</x:v>
      </x:c>
      <x:c r="E87" s="99" t="n">
        <x:v>0.95</x:v>
      </x:c>
      <x:c r="F87" s="103" t="n">
        <x:f>AVERAGE(R87:T87)</x:f>
        <x:v>107</x:v>
      </x:c>
      <x:c r="G87" s="103" t="n">
        <x:f>STDEV(R87:T87)</x:f>
        <x:v>80.43009387039157</x:v>
      </x:c>
      <x:c r="H87" s="103" t="n">
        <x:f>IF(E87=0.95,1.65,IF(E87=0.9,1.28,""))</x:f>
        <x:v>1.65</x:v>
      </x:c>
      <x:c r="I87" s="108" t="n">
        <x:v>2</x:v>
      </x:c>
      <x:c r="J87" s="103" t="n">
        <x:f>H87*G87*SQRT(I87)</x:f>
        <x:v>187.67979379784072</x:v>
      </x:c>
      <x:c r="K87" s="103" t="n">
        <x:f>N87+J87</x:f>
        <x:v>317.6797937978407</x:v>
      </x:c>
      <x:c r="L87" s="103" t="n">
        <x:f>K87*D87</x:f>
        <x:v>3176.7979379784074</x:v>
      </x:c>
      <x:c r="M87" s="108" t="n">
        <x:f>ROUNDUP(L87/'WH DATA'!$C$2,0)</x:f>
        <x:v>76</x:v>
      </x:c>
      <x:c r="N87" s="9">
        <x:v>130.0</x:v>
      </x:c>
      <x:c r="O87" s="9">
        <x:v>85.0</x:v>
      </x:c>
      <x:c r="P87" s="9">
        <x:v>63.0</x:v>
      </x:c>
      <x:c r="Q87" s="9">
        <x:v>92.0</x:v>
      </x:c>
      <x:c r="R87" s="9">
        <x:v>164.0</x:v>
      </x:c>
      <x:c r="S87" s="9">
        <x:v>142.0</x:v>
      </x:c>
      <x:c r="T87" s="9">
        <x:v>15.0</x:v>
      </x:c>
    </x:row>
    <x:row r="88">
      <x:c r="B88" s="8" t="s">
        <x:v>99</x:v>
      </x:c>
      <x:c r="C88" s="10">
        <x:v>6435.0</x:v>
      </x:c>
      <x:c r="D88" s="9">
        <x:v>8.0</x:v>
      </x:c>
      <x:c r="E88" s="99" t="n">
        <x:v>0.95</x:v>
      </x:c>
      <x:c r="F88" s="103" t="n">
        <x:f>AVERAGE(R88:T88)</x:f>
        <x:v>130.66666666666666</x:v>
      </x:c>
      <x:c r="G88" s="103" t="n">
        <x:f>STDEV(R88:T88)</x:f>
        <x:v>86.38479804533512</x:v>
      </x:c>
      <x:c r="H88" s="103" t="n">
        <x:f>IF(E88=0.95,1.65,IF(E88=0.9,1.28,""))</x:f>
        <x:v>1.65</x:v>
      </x:c>
      <x:c r="I88" s="108" t="n">
        <x:v>2</x:v>
      </x:c>
      <x:c r="J88" s="103" t="n">
        <x:f>H88*G88*SQRT(I88)</x:f>
        <x:v>201.5748124146467</x:v>
      </x:c>
      <x:c r="K88" s="103" t="n">
        <x:f>N88+J88</x:f>
        <x:v>369.57481241464666</x:v>
      </x:c>
      <x:c r="L88" s="103" t="n">
        <x:f>K88*D88</x:f>
        <x:v>2956.5984993171733</x:v>
      </x:c>
      <x:c r="M88" s="108" t="n">
        <x:f>ROUNDUP(L88/'WH DATA'!$C$2,0)</x:f>
        <x:v>71</x:v>
      </x:c>
      <x:c r="N88" s="9">
        <x:v>168.0</x:v>
      </x:c>
      <x:c r="O88" s="9">
        <x:v>70.0</x:v>
      </x:c>
      <x:c r="P88" s="9">
        <x:v>43.0</x:v>
      </x:c>
      <x:c r="Q88" s="9">
        <x:v>117.0</x:v>
      </x:c>
      <x:c r="R88" s="9">
        <x:v>177.0</x:v>
      </x:c>
      <x:c r="S88" s="9">
        <x:v>31.0</x:v>
      </x:c>
      <x:c r="T88" s="9">
        <x:v>184.0</x:v>
      </x:c>
    </x:row>
    <x:row r="89">
      <x:c r="B89" s="8" t="s">
        <x:v>100</x:v>
      </x:c>
      <x:c r="C89" s="10">
        <x:v>5775.0</x:v>
      </x:c>
      <x:c r="D89" s="9">
        <x:v>4.0</x:v>
      </x:c>
      <x:c r="E89" s="99" t="n">
        <x:v>0.95</x:v>
      </x:c>
      <x:c r="F89" s="103" t="n">
        <x:f>AVERAGE(R89:T89)</x:f>
        <x:v>113</x:v>
      </x:c>
      <x:c r="G89" s="103" t="n">
        <x:f>STDEV(R89:T89)</x:f>
        <x:v>66.14378277661477</x:v>
      </x:c>
      <x:c r="H89" s="103" t="n">
        <x:f>IF(E89=0.95,1.65,IF(E89=0.9,1.28,""))</x:f>
        <x:v>1.65</x:v>
      </x:c>
      <x:c r="I89" s="108" t="n">
        <x:v>2</x:v>
      </x:c>
      <x:c r="J89" s="103" t="n">
        <x:f>H89*G89*SQRT(I89)</x:f>
        <x:v>154.3433672044251</x:v>
      </x:c>
      <x:c r="K89" s="103" t="n">
        <x:f>N89+J89</x:f>
        <x:v>320.34336720442514</x:v>
      </x:c>
      <x:c r="L89" s="103" t="n">
        <x:f>K89*D89</x:f>
        <x:v>1281.3734688177005</x:v>
      </x:c>
      <x:c r="M89" s="108" t="n">
        <x:f>ROUNDUP(L89/'WH DATA'!$C$2,0)</x:f>
        <x:v>31</x:v>
      </x:c>
      <x:c r="N89" s="9">
        <x:v>166.0</x:v>
      </x:c>
      <x:c r="O89" s="9">
        <x:v>184.0</x:v>
      </x:c>
      <x:c r="P89" s="9">
        <x:v>41.0</x:v>
      </x:c>
      <x:c r="Q89" s="9">
        <x:v>135.0</x:v>
      </x:c>
      <x:c r="R89" s="9">
        <x:v>188.0</x:v>
      </x:c>
      <x:c r="S89" s="9">
        <x:v>88.0</x:v>
      </x:c>
      <x:c r="T89" s="9">
        <x:v>63.0</x:v>
      </x:c>
    </x:row>
    <x:row r="90">
      <x:c r="B90" s="8" t="s">
        <x:v>101</x:v>
      </x:c>
      <x:c r="C90" s="10">
        <x:v>2749.0</x:v>
      </x:c>
      <x:c r="D90" s="9">
        <x:v>2.0</x:v>
      </x:c>
      <x:c r="E90" s="99" t="n">
        <x:v>0.95</x:v>
      </x:c>
      <x:c r="F90" s="103" t="n">
        <x:f>AVERAGE(R90:T90)</x:f>
        <x:v>23.666666666666668</x:v>
      </x:c>
      <x:c r="G90" s="103" t="n">
        <x:f>STDEV(R90:T90)</x:f>
        <x:v>14.571661996262929</x:v>
      </x:c>
      <x:c r="H90" s="103" t="n">
        <x:f>IF(E90=0.95,1.65,IF(E90=0.9,1.28,""))</x:f>
        <x:v>1.65</x:v>
      </x:c>
      <x:c r="I90" s="108" t="n">
        <x:v>2</x:v>
      </x:c>
      <x:c r="J90" s="103" t="n">
        <x:f>H90*G90*SQRT(I90)</x:f>
        <x:v>34.00227933536221</x:v>
      </x:c>
      <x:c r="K90" s="103" t="n">
        <x:f>N90+J90</x:f>
        <x:v>221.0022793353622</x:v>
      </x:c>
      <x:c r="L90" s="103" t="n">
        <x:f>K90*D90</x:f>
        <x:v>442.0045586707244</x:v>
      </x:c>
      <x:c r="M90" s="108" t="n">
        <x:f>ROUNDUP(L90/'WH DATA'!$C$2,0)</x:f>
        <x:v>11</x:v>
      </x:c>
      <x:c r="N90" s="9">
        <x:v>187.0</x:v>
      </x:c>
      <x:c r="O90" s="9">
        <x:v>96.0</x:v>
      </x:c>
      <x:c r="P90" s="9">
        <x:v>21.0</x:v>
      </x:c>
      <x:c r="Q90" s="9">
        <x:v>84.0</x:v>
      </x:c>
      <x:c r="R90" s="9">
        <x:v>19.0</x:v>
      </x:c>
      <x:c r="S90" s="9">
        <x:v>40.0</x:v>
      </x:c>
      <x:c r="T90" s="9">
        <x:v>12.0</x:v>
      </x:c>
    </x:row>
    <x:row r="91">
      <x:c r="B91" s="8" t="s">
        <x:v>102</x:v>
      </x:c>
      <x:c r="C91" s="10">
        <x:v>1282.0</x:v>
      </x:c>
      <x:c r="D91" s="9">
        <x:v>8.0</x:v>
      </x:c>
      <x:c r="E91" s="99" t="n">
        <x:v>0.95</x:v>
      </x:c>
      <x:c r="F91" s="103" t="n">
        <x:f>AVERAGE(R91:T91)</x:f>
        <x:v>118.66666666666667</x:v>
      </x:c>
      <x:c r="G91" s="103" t="n">
        <x:f>STDEV(R91:T91)</x:f>
        <x:v>35.47299442298794</x:v>
      </x:c>
      <x:c r="H91" s="103" t="n">
        <x:f>IF(E91=0.95,1.65,IF(E91=0.9,1.28,""))</x:f>
        <x:v>1.65</x:v>
      </x:c>
      <x:c r="I91" s="108" t="n">
        <x:v>2</x:v>
      </x:c>
      <x:c r="J91" s="103" t="n">
        <x:f>H91*G91*SQRT(I91)</x:f>
        <x:v>82.77454318810827</x:v>
      </x:c>
      <x:c r="K91" s="103" t="n">
        <x:f>N91+J91</x:f>
        <x:v>152.77454318810828</x:v>
      </x:c>
      <x:c r="L91" s="103" t="n">
        <x:f>K91*D91</x:f>
        <x:v>1222.1963455048663</x:v>
      </x:c>
      <x:c r="M91" s="108" t="n">
        <x:f>ROUNDUP(L91/'WH DATA'!$C$2,0)</x:f>
        <x:v>30</x:v>
      </x:c>
      <x:c r="N91" s="9">
        <x:v>70.0</x:v>
      </x:c>
      <x:c r="O91" s="9">
        <x:v>172.0</x:v>
      </x:c>
      <x:c r="P91" s="9">
        <x:v>160.0</x:v>
      </x:c>
      <x:c r="Q91" s="9">
        <x:v>103.0</x:v>
      </x:c>
      <x:c r="R91" s="9">
        <x:v>157.0</x:v>
      </x:c>
      <x:c r="S91" s="9">
        <x:v>87.0</x:v>
      </x:c>
      <x:c r="T91" s="9">
        <x:v>112.0</x:v>
      </x:c>
    </x:row>
    <x:row r="92">
      <x:c r="B92" s="8" t="s">
        <x:v>103</x:v>
      </x:c>
      <x:c r="C92" s="10">
        <x:v>1841.0</x:v>
      </x:c>
      <x:c r="D92" s="9">
        <x:v>7.0</x:v>
      </x:c>
      <x:c r="E92" s="99" t="n">
        <x:v>0.95</x:v>
      </x:c>
      <x:c r="F92" s="103" t="n">
        <x:f>AVERAGE(R92:T92)</x:f>
        <x:v>148.66666666666666</x:v>
      </x:c>
      <x:c r="G92" s="103" t="n">
        <x:f>STDEV(R92:T92)</x:f>
        <x:v>46.371686763943934</x:v>
      </x:c>
      <x:c r="H92" s="103" t="n">
        <x:f>IF(E92=0.95,1.65,IF(E92=0.9,1.28,""))</x:f>
        <x:v>1.65</x:v>
      </x:c>
      <x:c r="I92" s="108" t="n">
        <x:v>2</x:v>
      </x:c>
      <x:c r="J92" s="103" t="n">
        <x:f>H92*G92*SQRT(I92)</x:f>
        <x:v>108.20612274728263</x:v>
      </x:c>
      <x:c r="K92" s="103" t="n">
        <x:f>N92+J92</x:f>
        <x:v>293.2061227472826</x:v>
      </x:c>
      <x:c r="L92" s="103" t="n">
        <x:f>K92*D92</x:f>
        <x:v>2052.4428592309782</x:v>
      </x:c>
      <x:c r="M92" s="108" t="n">
        <x:f>ROUNDUP(L92/'WH DATA'!$C$2,0)</x:f>
        <x:v>49</x:v>
      </x:c>
      <x:c r="N92" s="9">
        <x:v>185.0</x:v>
      </x:c>
      <x:c r="O92" s="9">
        <x:v>46.0</x:v>
      </x:c>
      <x:c r="P92" s="9">
        <x:v>111.0</x:v>
      </x:c>
      <x:c r="Q92" s="9">
        <x:v>101.0</x:v>
      </x:c>
      <x:c r="R92" s="9">
        <x:v>159.0</x:v>
      </x:c>
      <x:c r="S92" s="9">
        <x:v>98.0</x:v>
      </x:c>
      <x:c r="T92" s="9">
        <x:v>189.0</x:v>
      </x:c>
    </x:row>
    <x:row r="93">
      <x:c r="B93" s="8" t="s">
        <x:v>104</x:v>
      </x:c>
      <x:c r="C93" s="10">
        <x:v>5246.0</x:v>
      </x:c>
      <x:c r="D93" s="9">
        <x:v>11.0</x:v>
      </x:c>
      <x:c r="E93" s="99" t="n">
        <x:v>0.95</x:v>
      </x:c>
      <x:c r="F93" s="103" t="n">
        <x:f>AVERAGE(R93:T93)</x:f>
        <x:v>92.33333333333333</x:v>
      </x:c>
      <x:c r="G93" s="103" t="n">
        <x:f>STDEV(R93:T93)</x:f>
        <x:v>72.66590213665096</x:v>
      </x:c>
      <x:c r="H93" s="103" t="n">
        <x:f>IF(E93=0.95,1.65,IF(E93=0.9,1.28,""))</x:f>
        <x:v>1.65</x:v>
      </x:c>
      <x:c r="I93" s="108" t="n">
        <x:v>2</x:v>
      </x:c>
      <x:c r="J93" s="103" t="n">
        <x:f>H93*G93*SQRT(I93)</x:f>
        <x:v>169.56242213415095</x:v>
      </x:c>
      <x:c r="K93" s="103" t="n">
        <x:f>N93+J93</x:f>
        <x:v>202.56242213415095</x:v>
      </x:c>
      <x:c r="L93" s="103" t="n">
        <x:f>K93*D93</x:f>
        <x:v>2228.1866434756603</x:v>
      </x:c>
      <x:c r="M93" s="108" t="n">
        <x:f>ROUNDUP(L93/'WH DATA'!$C$2,0)</x:f>
        <x:v>54</x:v>
      </x:c>
      <x:c r="N93" s="9">
        <x:v>33.0</x:v>
      </x:c>
      <x:c r="O93" s="9">
        <x:v>193.0</x:v>
      </x:c>
      <x:c r="P93" s="9">
        <x:v>176.0</x:v>
      </x:c>
      <x:c r="Q93" s="9">
        <x:v>80.0</x:v>
      </x:c>
      <x:c r="R93" s="9">
        <x:v>170.0</x:v>
      </x:c>
      <x:c r="S93" s="9">
        <x:v>26.0</x:v>
      </x:c>
      <x:c r="T93" s="9">
        <x:v>81.0</x:v>
      </x:c>
    </x:row>
    <x:row r="94">
      <x:c r="B94" s="8" t="s">
        <x:v>105</x:v>
      </x:c>
      <x:c r="C94" s="10">
        <x:v>6624.0</x:v>
      </x:c>
      <x:c r="D94" s="9">
        <x:v>4.0</x:v>
      </x:c>
      <x:c r="E94" s="99" t="n">
        <x:v>0.95</x:v>
      </x:c>
      <x:c r="F94" s="103" t="n">
        <x:f>AVERAGE(R94:T94)</x:f>
        <x:v>92.33333333333333</x:v>
      </x:c>
      <x:c r="G94" s="103" t="n">
        <x:f>STDEV(R94:T94)</x:f>
        <x:v>79.76423592897592</x:v>
      </x:c>
      <x:c r="H94" s="103" t="n">
        <x:f>IF(E94=0.95,1.65,IF(E94=0.9,1.28,""))</x:f>
        <x:v>1.65</x:v>
      </x:c>
      <x:c r="I94" s="108" t="n">
        <x:v>2</x:v>
      </x:c>
      <x:c r="J94" s="103" t="n">
        <x:f>H94*G94*SQRT(I94)</x:f>
        <x:v>186.12604600109034</x:v>
      </x:c>
      <x:c r="K94" s="103" t="n">
        <x:f>N94+J94</x:f>
        <x:v>374.12604600109034</x:v>
      </x:c>
      <x:c r="L94" s="103" t="n">
        <x:f>K94*D94</x:f>
        <x:v>1496.5041840043614</x:v>
      </x:c>
      <x:c r="M94" s="108" t="n">
        <x:f>ROUNDUP(L94/'WH DATA'!$C$2,0)</x:f>
        <x:v>36</x:v>
      </x:c>
      <x:c r="N94" s="9">
        <x:v>188.0</x:v>
      </x:c>
      <x:c r="O94" s="9">
        <x:v>195.0</x:v>
      </x:c>
      <x:c r="P94" s="9">
        <x:v>58.0</x:v>
      </x:c>
      <x:c r="Q94" s="9">
        <x:v>196.0</x:v>
      </x:c>
      <x:c r="R94" s="9">
        <x:v>22.0</x:v>
      </x:c>
      <x:c r="S94" s="9">
        <x:v>76.0</x:v>
      </x:c>
      <x:c r="T94" s="9">
        <x:v>179.0</x:v>
      </x:c>
    </x:row>
    <x:row r="95">
      <x:c r="B95" s="8" t="s">
        <x:v>106</x:v>
      </x:c>
      <x:c r="C95" s="10">
        <x:v>9537.0</x:v>
      </x:c>
      <x:c r="D95" s="9">
        <x:v>8.0</x:v>
      </x:c>
      <x:c r="E95" s="99" t="n">
        <x:v>0.95</x:v>
      </x:c>
      <x:c r="F95" s="103" t="n">
        <x:f>AVERAGE(R95:T95)</x:f>
        <x:v>165</x:v>
      </x:c>
      <x:c r="G95" s="103" t="n">
        <x:f>STDEV(R95:T95)</x:f>
        <x:v>39.949968710876355</x:v>
      </x:c>
      <x:c r="H95" s="103" t="n">
        <x:f>IF(E95=0.95,1.65,IF(E95=0.9,1.28,""))</x:f>
        <x:v>1.65</x:v>
      </x:c>
      <x:c r="I95" s="108" t="n">
        <x:v>2</x:v>
      </x:c>
      <x:c r="J95" s="103" t="n">
        <x:f>H95*G95*SQRT(I95)</x:f>
        <x:v>93.22134948604852</x:v>
      </x:c>
      <x:c r="K95" s="103" t="n">
        <x:f>N95+J95</x:f>
        <x:v>160.22134948604852</x:v>
      </x:c>
      <x:c r="L95" s="103" t="n">
        <x:f>K95*D95</x:f>
        <x:v>1281.7707958883882</x:v>
      </x:c>
      <x:c r="M95" s="108" t="n">
        <x:f>ROUNDUP(L95/'WH DATA'!$C$2,0)</x:f>
        <x:v>31</x:v>
      </x:c>
      <x:c r="N95" s="9">
        <x:v>67.0</x:v>
      </x:c>
      <x:c r="O95" s="9">
        <x:v>171.0</x:v>
      </x:c>
      <x:c r="P95" s="9">
        <x:v>88.0</x:v>
      </x:c>
      <x:c r="Q95" s="9">
        <x:v>36.0</x:v>
      </x:c>
      <x:c r="R95" s="9">
        <x:v>121.0</x:v>
      </x:c>
      <x:c r="S95" s="9">
        <x:v>199.0</x:v>
      </x:c>
      <x:c r="T95" s="9">
        <x:v>175.0</x:v>
      </x:c>
    </x:row>
    <x:row r="96">
      <x:c r="B96" s="8" t="s">
        <x:v>107</x:v>
      </x:c>
      <x:c r="C96" s="10">
        <x:v>1801.0</x:v>
      </x:c>
      <x:c r="D96" s="9">
        <x:v>3.0</x:v>
      </x:c>
      <x:c r="E96" s="99" t="n">
        <x:v>0.95</x:v>
      </x:c>
      <x:c r="F96" s="103" t="n">
        <x:f>AVERAGE(R96:T96)</x:f>
        <x:v>87</x:v>
      </x:c>
      <x:c r="G96" s="103" t="n">
        <x:f>STDEV(R96:T96)</x:f>
        <x:v>82.8190799272728</x:v>
      </x:c>
      <x:c r="H96" s="103" t="n">
        <x:f>IF(E96=0.95,1.65,IF(E96=0.9,1.28,""))</x:f>
        <x:v>1.65</x:v>
      </x:c>
      <x:c r="I96" s="108" t="n">
        <x:v>2</x:v>
      </x:c>
      <x:c r="J96" s="103" t="n">
        <x:f>H96*G96*SQRT(I96)</x:f>
        <x:v>193.25437899307744</x:v>
      </x:c>
      <x:c r="K96" s="103" t="n">
        <x:f>N96+J96</x:f>
        <x:v>218.25437899307744</x:v>
      </x:c>
      <x:c r="L96" s="103" t="n">
        <x:f>K96*D96</x:f>
        <x:v>654.7631369792323</x:v>
      </x:c>
      <x:c r="M96" s="108" t="n">
        <x:f>ROUNDUP(L96/'WH DATA'!$C$2,0)</x:f>
        <x:v>16</x:v>
      </x:c>
      <x:c r="N96" s="9">
        <x:v>25.0</x:v>
      </x:c>
      <x:c r="O96" s="9">
        <x:v>178.0</x:v>
      </x:c>
      <x:c r="P96" s="9">
        <x:v>192.0</x:v>
      </x:c>
      <x:c r="Q96" s="9">
        <x:v>165.0</x:v>
      </x:c>
      <x:c r="R96" s="9">
        <x:v>30.0</x:v>
      </x:c>
      <x:c r="S96" s="9">
        <x:v>49.0</x:v>
      </x:c>
      <x:c r="T96" s="9">
        <x:v>182.0</x:v>
      </x:c>
    </x:row>
    <x:row r="97">
      <x:c r="B97" s="8" t="s">
        <x:v>108</x:v>
      </x:c>
      <x:c r="C97" s="10">
        <x:v>2795.0</x:v>
      </x:c>
      <x:c r="D97" s="9">
        <x:v>4.0</x:v>
      </x:c>
      <x:c r="E97" s="99" t="n">
        <x:v>0.95</x:v>
      </x:c>
      <x:c r="F97" s="103" t="n">
        <x:f>AVERAGE(R97:T97)</x:f>
        <x:v>87.33333333333333</x:v>
      </x:c>
      <x:c r="G97" s="103" t="n">
        <x:f>STDEV(R97:T97)</x:f>
        <x:v>71.45161533046915</x:v>
      </x:c>
      <x:c r="H97" s="103" t="n">
        <x:f>IF(E97=0.95,1.65,IF(E97=0.9,1.28,""))</x:f>
        <x:v>1.65</x:v>
      </x:c>
      <x:c r="I97" s="108" t="n">
        <x:v>2</x:v>
      </x:c>
      <x:c r="J97" s="103" t="n">
        <x:f>H97*G97*SQRT(I97)</x:f>
        <x:v>166.72894169879447</x:v>
      </x:c>
      <x:c r="K97" s="103" t="n">
        <x:f>N97+J97</x:f>
        <x:v>293.7289416987945</x:v>
      </x:c>
      <x:c r="L97" s="103" t="n">
        <x:f>K97*D97</x:f>
        <x:v>1174.915766795178</x:v>
      </x:c>
      <x:c r="M97" s="108" t="n">
        <x:f>ROUNDUP(L97/'WH DATA'!$C$2,0)</x:f>
        <x:v>28</x:v>
      </x:c>
      <x:c r="N97" s="9">
        <x:v>127.0</x:v>
      </x:c>
      <x:c r="O97" s="9">
        <x:v>91.0</x:v>
      </x:c>
      <x:c r="P97" s="9">
        <x:v>161.0</x:v>
      </x:c>
      <x:c r="Q97" s="9">
        <x:v>132.0</x:v>
      </x:c>
      <x:c r="R97" s="9">
        <x:v>62.0</x:v>
      </x:c>
      <x:c r="S97" s="9">
        <x:v>32.0</x:v>
      </x:c>
      <x:c r="T97" s="9">
        <x:v>168.0</x:v>
      </x:c>
    </x:row>
    <x:row r="98">
      <x:c r="B98" s="8" t="s">
        <x:v>109</x:v>
      </x:c>
      <x:c r="C98" s="10">
        <x:v>9671.0</x:v>
      </x:c>
      <x:c r="D98" s="9">
        <x:v>5.0</x:v>
      </x:c>
      <x:c r="E98" s="99" t="n">
        <x:v>0.95</x:v>
      </x:c>
      <x:c r="F98" s="103" t="n">
        <x:f>AVERAGE(R98:T98)</x:f>
        <x:v>56</x:v>
      </x:c>
      <x:c r="G98" s="103" t="n">
        <x:f>STDEV(R98:T98)</x:f>
        <x:v>87.64131445842195</x:v>
      </x:c>
      <x:c r="H98" s="103" t="n">
        <x:f>IF(E98=0.95,1.65,IF(E98=0.9,1.28,""))</x:f>
        <x:v>1.65</x:v>
      </x:c>
      <x:c r="I98" s="108" t="n">
        <x:v>2</x:v>
      </x:c>
      <x:c r="J98" s="103" t="n">
        <x:f>H98*G98*SQRT(I98)</x:f>
        <x:v>204.50683362665413</x:v>
      </x:c>
      <x:c r="K98" s="103" t="n">
        <x:f>N98+J98</x:f>
        <x:v>369.50683362665416</x:v>
      </x:c>
      <x:c r="L98" s="103" t="n">
        <x:f>K98*D98</x:f>
        <x:v>1847.5341681332707</x:v>
      </x:c>
      <x:c r="M98" s="108" t="n">
        <x:f>ROUNDUP(L98/'WH DATA'!$C$2,0)</x:f>
        <x:v>44</x:v>
      </x:c>
      <x:c r="N98" s="9">
        <x:v>165.0</x:v>
      </x:c>
      <x:c r="O98" s="9">
        <x:v>127.0</x:v>
      </x:c>
      <x:c r="P98" s="9">
        <x:v>154.0</x:v>
      </x:c>
      <x:c r="Q98" s="9">
        <x:v>53.0</x:v>
      </x:c>
      <x:c r="R98" s="9">
        <x:v>11.0</x:v>
      </x:c>
      <x:c r="S98" s="9">
        <x:v>0.0</x:v>
      </x:c>
      <x:c r="T98" s="9">
        <x:v>157.0</x:v>
      </x:c>
    </x:row>
    <x:row r="99">
      <x:c r="B99" s="8" t="s">
        <x:v>110</x:v>
      </x:c>
      <x:c r="C99" s="10">
        <x:v>5602.0</x:v>
      </x:c>
      <x:c r="D99" s="9">
        <x:v>2.0</x:v>
      </x:c>
      <x:c r="E99" s="99" t="n">
        <x:v>0.95</x:v>
      </x:c>
      <x:c r="F99" s="103" t="n">
        <x:f>AVERAGE(R99:T99)</x:f>
        <x:v>114</x:v>
      </x:c>
      <x:c r="G99" s="103" t="n">
        <x:f>STDEV(R99:T99)</x:f>
        <x:v>26.057628441590765</x:v>
      </x:c>
      <x:c r="H99" s="103" t="n">
        <x:f>IF(E99=0.95,1.65,IF(E99=0.9,1.28,""))</x:f>
        <x:v>1.65</x:v>
      </x:c>
      <x:c r="I99" s="108" t="n">
        <x:v>2</x:v>
      </x:c>
      <x:c r="J99" s="103" t="n">
        <x:f>H99*G99*SQRT(I99)</x:f>
        <x:v>60.804235049871316</x:v>
      </x:c>
      <x:c r="K99" s="103" t="n">
        <x:f>N99+J99</x:f>
        <x:v>214.80423504987132</x:v>
      </x:c>
      <x:c r="L99" s="103" t="n">
        <x:f>K99*D99</x:f>
        <x:v>429.60847009974265</x:v>
      </x:c>
      <x:c r="M99" s="108" t="n">
        <x:f>ROUNDUP(L99/'WH DATA'!$C$2,0)</x:f>
        <x:v>11</x:v>
      </x:c>
      <x:c r="N99" s="9">
        <x:v>154.0</x:v>
      </x:c>
      <x:c r="O99" s="9">
        <x:v>36.0</x:v>
      </x:c>
      <x:c r="P99" s="9">
        <x:v>186.0</x:v>
      </x:c>
      <x:c r="Q99" s="9">
        <x:v>52.0</x:v>
      </x:c>
      <x:c r="R99" s="9">
        <x:v>144.0</x:v>
      </x:c>
      <x:c r="S99" s="9">
        <x:v>97.0</x:v>
      </x:c>
      <x:c r="T99" s="9">
        <x:v>101.0</x:v>
      </x:c>
    </x:row>
    <x:row r="100">
      <x:c r="B100" s="8" t="s">
        <x:v>111</x:v>
      </x:c>
      <x:c r="C100" s="10">
        <x:v>4329.0</x:v>
      </x:c>
      <x:c r="D100" s="9">
        <x:v>12.0</x:v>
      </x:c>
      <x:c r="E100" s="99" t="n">
        <x:v>0.95</x:v>
      </x:c>
      <x:c r="F100" s="103" t="n">
        <x:f>AVERAGE(R100:T100)</x:f>
        <x:v>81</x:v>
      </x:c>
      <x:c r="G100" s="103" t="n">
        <x:f>STDEV(R100:T100)</x:f>
        <x:v>47.57099956906519</x:v>
      </x:c>
      <x:c r="H100" s="103" t="n">
        <x:f>IF(E100=0.95,1.65,IF(E100=0.9,1.28,""))</x:f>
        <x:v>1.65</x:v>
      </x:c>
      <x:c r="I100" s="108" t="n">
        <x:v>2</x:v>
      </x:c>
      <x:c r="J100" s="103" t="n">
        <x:f>H100*G100*SQRT(I100)</x:f>
        <x:v>111.00466206425746</x:v>
      </x:c>
      <x:c r="K100" s="103" t="n">
        <x:f>N100+J100</x:f>
        <x:v>210.00466206425745</x:v>
      </x:c>
      <x:c r="L100" s="103" t="n">
        <x:f>K100*D100</x:f>
        <x:v>2520.0559447710893</x:v>
      </x:c>
      <x:c r="M100" s="108" t="n">
        <x:f>ROUNDUP(L100/'WH DATA'!$C$2,0)</x:f>
        <x:v>61</x:v>
      </x:c>
      <x:c r="N100" s="9">
        <x:v>99.0</x:v>
      </x:c>
      <x:c r="O100" s="9">
        <x:v>148.0</x:v>
      </x:c>
      <x:c r="P100" s="9">
        <x:v>52.0</x:v>
      </x:c>
      <x:c r="Q100" s="9">
        <x:v>126.0</x:v>
      </x:c>
      <x:c r="R100" s="9">
        <x:v>78.0</x:v>
      </x:c>
      <x:c r="S100" s="9">
        <x:v>130.0</x:v>
      </x:c>
      <x:c r="T100" s="9">
        <x:v>35.0</x:v>
      </x:c>
    </x:row>
    <x:row r="101">
      <x:c r="B101" s="8" t="s">
        <x:v>112</x:v>
      </x:c>
      <x:c r="C101" s="10">
        <x:v>7135.0</x:v>
      </x:c>
      <x:c r="D101" s="9">
        <x:v>9.0</x:v>
      </x:c>
      <x:c r="E101" s="99" t="n">
        <x:v>0.95</x:v>
      </x:c>
      <x:c r="F101" s="103" t="n">
        <x:f>AVERAGE(R101:T101)</x:f>
        <x:v>106.33333333333333</x:v>
      </x:c>
      <x:c r="G101" s="103" t="n">
        <x:f>STDEV(R101:T101)</x:f>
        <x:v>96.10584442859515</x:v>
      </x:c>
      <x:c r="H101" s="103" t="n">
        <x:f>IF(E101=0.95,1.65,IF(E101=0.9,1.28,""))</x:f>
        <x:v>1.65</x:v>
      </x:c>
      <x:c r="I101" s="108" t="n">
        <x:v>2</x:v>
      </x:c>
      <x:c r="J101" s="103" t="n">
        <x:f>H101*G101*SQRT(I101)</x:f>
        <x:v>224.25841121349274</x:v>
      </x:c>
      <x:c r="K101" s="103" t="n">
        <x:f>N101+J101</x:f>
        <x:v>410.25841121349276</x:v>
      </x:c>
      <x:c r="L101" s="103" t="n">
        <x:f>K101*D101</x:f>
        <x:v>3692.325700921435</x:v>
      </x:c>
      <x:c r="M101" s="108" t="n">
        <x:f>ROUNDUP(L101/'WH DATA'!$C$2,0)</x:f>
        <x:v>88</x:v>
      </x:c>
      <x:c r="N101" s="9">
        <x:v>186.0</x:v>
      </x:c>
      <x:c r="O101" s="9">
        <x:v>86.0</x:v>
      </x:c>
      <x:c r="P101" s="9">
        <x:v>100.0</x:v>
      </x:c>
      <x:c r="Q101" s="9">
        <x:v>63.0</x:v>
      </x:c>
      <x:c r="R101" s="9">
        <x:v>0.0</x:v>
      </x:c>
      <x:c r="S101" s="9">
        <x:v>187.0</x:v>
      </x:c>
      <x:c r="T101" s="9">
        <x:v>132.0</x:v>
      </x:c>
    </x:row>
    <x:row r="102">
      <x:c r="B102" s="8" t="s">
        <x:v>113</x:v>
      </x:c>
      <x:c r="C102" s="10">
        <x:v>5760.0</x:v>
      </x:c>
      <x:c r="D102" s="9">
        <x:v>8.0</x:v>
      </x:c>
      <x:c r="E102" s="99" t="n">
        <x:v>0.95</x:v>
      </x:c>
      <x:c r="F102" s="103" t="n">
        <x:f>AVERAGE(R102:T102)</x:f>
        <x:v>110.66666666666667</x:v>
      </x:c>
      <x:c r="G102" s="103" t="n">
        <x:f>STDEV(R102:T102)</x:f>
        <x:v>36.89625093872456</x:v>
      </x:c>
      <x:c r="H102" s="103" t="n">
        <x:f>IF(E102=0.95,1.65,IF(E102=0.9,1.28,""))</x:f>
        <x:v>1.65</x:v>
      </x:c>
      <x:c r="I102" s="108" t="n">
        <x:v>2</x:v>
      </x:c>
      <x:c r="J102" s="103" t="n">
        <x:f>H102*G102*SQRT(I102)</x:f>
        <x:v>86.09564448913778</x:v>
      </x:c>
      <x:c r="K102" s="103" t="n">
        <x:f>N102+J102</x:f>
        <x:v>134.09564448913778</x:v>
      </x:c>
      <x:c r="L102" s="103" t="n">
        <x:f>K102*D102</x:f>
        <x:v>1072.7651559131023</x:v>
      </x:c>
      <x:c r="M102" s="108" t="n">
        <x:f>ROUNDUP(L102/'WH DATA'!$C$2,0)</x:f>
        <x:v>26</x:v>
      </x:c>
      <x:c r="N102" s="9">
        <x:v>48.0</x:v>
      </x:c>
      <x:c r="O102" s="9">
        <x:v>182.0</x:v>
      </x:c>
      <x:c r="P102" s="9">
        <x:v>171.0</x:v>
      </x:c>
      <x:c r="Q102" s="9">
        <x:v>135.0</x:v>
      </x:c>
      <x:c r="R102" s="9">
        <x:v>142.0</x:v>
      </x:c>
      <x:c r="S102" s="9">
        <x:v>70.0</x:v>
      </x:c>
      <x:c r="T102" s="9">
        <x:v>120.0</x:v>
      </x:c>
    </x:row>
    <x:row r="103">
      <x:c r="B103" s="8" t="s">
        <x:v>114</x:v>
      </x:c>
      <x:c r="C103" s="10">
        <x:v>2935.0</x:v>
      </x:c>
      <x:c r="D103" s="9">
        <x:v>10.0</x:v>
      </x:c>
      <x:c r="E103" s="99" t="n">
        <x:v>0.95</x:v>
      </x:c>
      <x:c r="F103" s="103" t="n">
        <x:f>AVERAGE(R103:T103)</x:f>
        <x:v>113</x:v>
      </x:c>
      <x:c r="G103" s="103" t="n">
        <x:f>STDEV(R103:T103)</x:f>
        <x:v>41.617304093369626</x:v>
      </x:c>
      <x:c r="H103" s="103" t="n">
        <x:f>IF(E103=0.95,1.65,IF(E103=0.9,1.28,""))</x:f>
        <x:v>1.65</x:v>
      </x:c>
      <x:c r="I103" s="108" t="n">
        <x:v>2</x:v>
      </x:c>
      <x:c r="J103" s="103" t="n">
        <x:f>H103*G103*SQRT(I103)</x:f>
        <x:v>97.11199719911026</x:v>
      </x:c>
      <x:c r="K103" s="103" t="n">
        <x:f>N103+J103</x:f>
        <x:v>188.11199719911025</x:v>
      </x:c>
      <x:c r="L103" s="103" t="n">
        <x:f>K103*D103</x:f>
        <x:v>1881.1199719911024</x:v>
      </x:c>
      <x:c r="M103" s="108" t="n">
        <x:f>ROUNDUP(L103/'WH DATA'!$C$2,0)</x:f>
        <x:v>45</x:v>
      </x:c>
      <x:c r="N103" s="9">
        <x:v>91.0</x:v>
      </x:c>
      <x:c r="O103" s="9">
        <x:v>196.0</x:v>
      </x:c>
      <x:c r="P103" s="9">
        <x:v>47.0</x:v>
      </x:c>
      <x:c r="Q103" s="9">
        <x:v>78.0</x:v>
      </x:c>
      <x:c r="R103" s="9">
        <x:v>65.0</x:v>
      </x:c>
      <x:c r="S103" s="9">
        <x:v>139.0</x:v>
      </x:c>
      <x:c r="T103" s="9">
        <x:v>135.0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3" max="4" width="21.1299991607666" customWidth="1"/>
    <x:col min="5" max="5" width="14.130000114440918" customWidth="1"/>
    <x:col min="6" max="6" width="7" customWidth="1"/>
    <x:col min="7" max="7" width="8.25" customWidth="1"/>
    <x:col min="8" max="8" width="8.5" customWidth="1"/>
    <x:col min="9" max="9" width="16.75" customWidth="1"/>
    <x:col min="10" max="10" width="13.880000114440918" customWidth="1"/>
    <x:col min="11" max="11" width="21.1299991607666" customWidth="1"/>
    <x:col min="12" max="12" width="22.3799991607666" customWidth="1"/>
    <x:col min="13" max="14" width="21.1299991607666" customWidth="1"/>
    <x:col min="22" max="22" width="16" customWidth="1"/>
  </x:cols>
  <x:sheetData>
    <x:row r="2">
      <x:c r="O2" s="1" t="s">
        <x:v>0</x:v>
      </x:c>
    </x:row>
    <x:row r="3">
      <x:c r="A3" s="4"/>
      <x:c r="B3" s="1" t="s">
        <x:v>1</x:v>
      </x:c>
      <x:c r="C3" s="1" t="s">
        <x:v>2</x:v>
      </x:c>
      <x:c r="D3" s="1" t="s">
        <x:v>3</x:v>
      </x:c>
      <x:c r="E3" s="5" t="s">
        <x:v>4</x:v>
      </x:c>
      <x:c r="F3" s="5" t="s">
        <x:v>5</x:v>
      </x:c>
      <x:c r="G3" s="5" t="s">
        <x:v>6</x:v>
      </x:c>
      <x:c r="H3" s="5" t="s">
        <x:v>7</x:v>
      </x:c>
      <x:c r="I3" s="5" t="s">
        <x:v>8</x:v>
      </x:c>
      <x:c r="J3" s="5" t="s">
        <x:v>9</x:v>
      </x:c>
      <x:c r="K3" s="5" t="s">
        <x:v>10</x:v>
      </x:c>
      <x:c r="L3" s="5" t="s">
        <x:v>11</x:v>
      </x:c>
      <x:c r="M3" s="5" t="s">
        <x:v>12</x:v>
      </x:c>
      <x:c r="N3" s="1" t="s">
        <x:v>13</x:v>
      </x:c>
      <x:c r="O3" s="7">
        <x:v>44927.0</x:v>
      </x:c>
      <x:c r="P3" s="7">
        <x:v>44958.0</x:v>
      </x:c>
      <x:c r="Q3" s="7">
        <x:v>44986.0</x:v>
      </x:c>
      <x:c r="R3" s="7">
        <x:v>45017.0</x:v>
      </x:c>
      <x:c r="S3" s="7">
        <x:v>45047.0</x:v>
      </x:c>
      <x:c r="T3" s="7">
        <x:v>45078.0</x:v>
      </x:c>
      <x:c r="U3" s="11">
        <x:v>45108.0</x:v>
      </x:c>
      <x:c r="V3" s="11" t="s">
        <x:v>14</x:v>
      </x:c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</x:row>
    <x:row r="4">
      <x:c r="B4" s="8" t="s">
        <x:v>15</x:v>
      </x:c>
      <x:c r="C4" s="10">
        <x:v>3249.0</x:v>
      </x:c>
      <x:c r="D4" s="9">
        <x:v>9.0</x:v>
      </x:c>
      <x:c r="E4" s="12">
        <x:v>0.95</x:v>
      </x:c>
      <x:c r="F4" s="13" t="n">
        <x:f>AVERAGE(R4:T4)</x:f>
        <x:v>123.33333333333333</x:v>
      </x:c>
      <x:c r="G4" s="13" t="n">
        <x:f>STDEV(R4:T4)</x:f>
        <x:v>28.307831660749525</x:v>
      </x:c>
      <x:c r="H4" s="14">
        <x:v>1.65</x:v>
      </x:c>
      <x:c r="I4" s="15">
        <x:v>2.0</x:v>
      </x:c>
      <x:c r="J4" s="16" t="n">
        <x:f>H4*G4*SQRT(I4)</x:f>
        <x:v>66.05497710241067</x:v>
      </x:c>
      <x:c r="K4" s="16" t="n">
        <x:f>N4+J4</x:f>
        <x:v>97.05497710241067</x:v>
      </x:c>
      <x:c r="L4" s="13" t="n">
        <x:f>K4*D4</x:f>
        <x:v>873.4947939216961</x:v>
      </x:c>
      <x:c r="M4" s="16" t="n">
        <x:f>roundup(L4/42,0)</x:f>
        <x:v>21</x:v>
      </x:c>
      <x:c r="N4" s="9">
        <x:v>31.0</x:v>
      </x:c>
      <x:c r="O4" s="9">
        <x:v>74.0</x:v>
      </x:c>
      <x:c r="P4" s="9">
        <x:v>114.0</x:v>
      </x:c>
      <x:c r="Q4" s="9">
        <x:v>174.0</x:v>
      </x:c>
      <x:c r="R4" s="9">
        <x:v>156.0</x:v>
      </x:c>
      <x:c r="S4" s="9">
        <x:v>108.0</x:v>
      </x:c>
      <x:c r="T4" s="9">
        <x:v>106.0</x:v>
      </x:c>
      <x:c r="U4" s="13" t="n">
        <x:f>average(O4:T4)</x:f>
        <x:v>122</x:v>
      </x:c>
      <x:c r="V4" s="17" t="n">
        <x:f>U4*6*C4</x:f>
        <x:v>2378268</x:v>
      </x:c>
    </x:row>
    <x:row r="5">
      <x:c r="B5" s="18" t="s">
        <x:v>16</x:v>
      </x:c>
      <x:c r="C5" s="19">
        <x:v>7217.0</x:v>
      </x:c>
      <x:c r="D5" s="9">
        <x:v>1.0</x:v>
      </x:c>
      <x:c r="E5" s="21"/>
      <x:c r="F5" s="22"/>
      <x:c r="G5" s="22"/>
      <x:c r="H5" s="24"/>
      <x:c r="I5" s="25"/>
      <x:c r="J5" s="27"/>
      <x:c r="K5" s="28"/>
      <x:c r="L5" s="29"/>
      <x:c r="M5" s="31"/>
      <x:c r="N5" s="9">
        <x:v>122.0</x:v>
      </x:c>
      <x:c r="O5" s="9">
        <x:v>115.0</x:v>
      </x:c>
      <x:c r="P5" s="9">
        <x:v>117.0</x:v>
      </x:c>
      <x:c r="Q5" s="9">
        <x:v>58.0</x:v>
      </x:c>
      <x:c r="R5" s="9">
        <x:v>56.0</x:v>
      </x:c>
      <x:c r="S5" s="9">
        <x:v>2.0</x:v>
      </x:c>
      <x:c r="T5" s="9">
        <x:v>174.0</x:v>
      </x:c>
      <x:c r="U5" s="29"/>
      <x:c r="V5" s="28"/>
    </x:row>
    <x:row r="6">
      <x:c r="B6" s="18" t="s">
        <x:v>17</x:v>
      </x:c>
      <x:c r="C6" s="19">
        <x:v>4873.0</x:v>
      </x:c>
      <x:c r="D6" s="9">
        <x:v>4.0</x:v>
      </x:c>
      <x:c r="E6" s="21"/>
      <x:c r="F6" s="22"/>
      <x:c r="G6" s="22"/>
      <x:c r="H6" s="24"/>
      <x:c r="I6" s="28"/>
      <x:c r="J6" s="27"/>
      <x:c r="K6" s="28"/>
      <x:c r="L6" s="29"/>
      <x:c r="M6" s="31"/>
      <x:c r="N6" s="9">
        <x:v>146.0</x:v>
      </x:c>
      <x:c r="O6" s="9">
        <x:v>102.0</x:v>
      </x:c>
      <x:c r="P6" s="9">
        <x:v>77.0</x:v>
      </x:c>
      <x:c r="Q6" s="9">
        <x:v>140.0</x:v>
      </x:c>
      <x:c r="R6" s="9">
        <x:v>192.0</x:v>
      </x:c>
      <x:c r="S6" s="9">
        <x:v>133.0</x:v>
      </x:c>
      <x:c r="T6" s="9">
        <x:v>101.0</x:v>
      </x:c>
      <x:c r="U6" s="29"/>
      <x:c r="V6" s="28"/>
    </x:row>
    <x:row r="7">
      <x:c r="B7" s="18" t="s">
        <x:v>18</x:v>
      </x:c>
      <x:c r="C7" s="19">
        <x:v>4994.0</x:v>
      </x:c>
      <x:c r="D7" s="9">
        <x:v>9.0</x:v>
      </x:c>
      <x:c r="E7" s="28"/>
      <x:c r="F7" s="28"/>
      <x:c r="G7" s="22"/>
      <x:c r="H7" s="22"/>
      <x:c r="I7" s="28"/>
      <x:c r="J7" s="27"/>
      <x:c r="K7" s="28"/>
      <x:c r="L7" s="29"/>
      <x:c r="M7" s="31"/>
      <x:c r="N7" s="9">
        <x:v>61.0</x:v>
      </x:c>
      <x:c r="O7" s="9">
        <x:v>116.0</x:v>
      </x:c>
      <x:c r="P7" s="9">
        <x:v>10.0</x:v>
      </x:c>
      <x:c r="Q7" s="9">
        <x:v>59.0</x:v>
      </x:c>
      <x:c r="R7" s="9">
        <x:v>167.0</x:v>
      </x:c>
      <x:c r="S7" s="9">
        <x:v>174.0</x:v>
      </x:c>
      <x:c r="T7" s="9">
        <x:v>103.0</x:v>
      </x:c>
      <x:c r="U7" s="29"/>
      <x:c r="V7" s="28"/>
    </x:row>
    <x:row r="8">
      <x:c r="B8" s="18" t="s">
        <x:v>19</x:v>
      </x:c>
      <x:c r="C8" s="19">
        <x:v>6773.0</x:v>
      </x:c>
      <x:c r="D8" s="9">
        <x:v>2.0</x:v>
      </x:c>
      <x:c r="E8" s="37"/>
      <x:c r="F8" s="22"/>
      <x:c r="G8" s="22"/>
      <x:c r="H8" s="22"/>
      <x:c r="I8" s="28"/>
      <x:c r="J8" s="27"/>
      <x:c r="K8" s="28"/>
      <x:c r="L8" s="29"/>
      <x:c r="M8" s="31"/>
      <x:c r="N8" s="9">
        <x:v>156.0</x:v>
      </x:c>
      <x:c r="O8" s="9">
        <x:v>83.0</x:v>
      </x:c>
      <x:c r="P8" s="9">
        <x:v>33.0</x:v>
      </x:c>
      <x:c r="Q8" s="9">
        <x:v>160.0</x:v>
      </x:c>
      <x:c r="R8" s="9">
        <x:v>136.0</x:v>
      </x:c>
      <x:c r="S8" s="9">
        <x:v>6.0</x:v>
      </x:c>
      <x:c r="T8" s="9">
        <x:v>23.0</x:v>
      </x:c>
      <x:c r="U8" s="29"/>
      <x:c r="V8" s="28"/>
    </x:row>
    <x:row r="9">
      <x:c r="B9" s="18" t="s">
        <x:v>20</x:v>
      </x:c>
      <x:c r="C9" s="19">
        <x:v>6076.0</x:v>
      </x:c>
      <x:c r="D9" s="9">
        <x:v>8.0</x:v>
      </x:c>
      <x:c r="E9" s="31"/>
      <x:c r="F9" s="31"/>
      <x:c r="G9" s="39"/>
      <x:c r="H9" s="31"/>
      <x:c r="I9" s="31"/>
      <x:c r="J9" s="31"/>
      <x:c r="K9" s="31"/>
      <x:c r="L9" s="31"/>
      <x:c r="M9" s="31"/>
      <x:c r="N9" s="9">
        <x:v>161.0</x:v>
      </x:c>
      <x:c r="O9" s="9">
        <x:v>128.0</x:v>
      </x:c>
      <x:c r="P9" s="9">
        <x:v>131.0</x:v>
      </x:c>
      <x:c r="Q9" s="9">
        <x:v>198.0</x:v>
      </x:c>
      <x:c r="R9" s="9">
        <x:v>127.0</x:v>
      </x:c>
      <x:c r="S9" s="9">
        <x:v>24.0</x:v>
      </x:c>
      <x:c r="T9" s="9">
        <x:v>135.0</x:v>
      </x:c>
      <x:c r="U9" s="29"/>
      <x:c r="V9" s="28"/>
    </x:row>
    <x:row r="10">
      <x:c r="B10" s="18" t="s">
        <x:v>21</x:v>
      </x:c>
      <x:c r="C10" s="19">
        <x:v>7636.0</x:v>
      </x:c>
      <x:c r="D10" s="9">
        <x:v>5.0</x:v>
      </x:c>
      <x:c r="E10" s="31"/>
      <x:c r="F10" s="31"/>
      <x:c r="G10" s="31"/>
      <x:c r="H10" s="31"/>
      <x:c r="I10" s="31"/>
      <x:c r="J10" s="31"/>
      <x:c r="K10" s="31"/>
      <x:c r="L10" s="31"/>
      <x:c r="M10" s="31"/>
      <x:c r="N10" s="9">
        <x:v>181.0</x:v>
      </x:c>
      <x:c r="O10" s="9">
        <x:v>25.0</x:v>
      </x:c>
      <x:c r="P10" s="9">
        <x:v>162.0</x:v>
      </x:c>
      <x:c r="Q10" s="9">
        <x:v>85.0</x:v>
      </x:c>
      <x:c r="R10" s="9">
        <x:v>179.0</x:v>
      </x:c>
      <x:c r="S10" s="9">
        <x:v>10.0</x:v>
      </x:c>
      <x:c r="T10" s="9">
        <x:v>108.0</x:v>
      </x:c>
      <x:c r="U10" s="29"/>
      <x:c r="V10" s="28"/>
    </x:row>
    <x:row r="11">
      <x:c r="B11" s="18" t="s">
        <x:v>22</x:v>
      </x:c>
      <x:c r="C11" s="19">
        <x:v>2458.0</x:v>
      </x:c>
      <x:c r="D11" s="9">
        <x:v>5.0</x:v>
      </x:c>
      <x:c r="E11" s="31"/>
      <x:c r="F11" s="31"/>
      <x:c r="G11" s="31"/>
      <x:c r="H11" s="31"/>
      <x:c r="I11" s="31"/>
      <x:c r="J11" s="31"/>
      <x:c r="K11" s="31"/>
      <x:c r="L11" s="31"/>
      <x:c r="M11" s="31"/>
      <x:c r="N11" s="9">
        <x:v>175.0</x:v>
      </x:c>
      <x:c r="O11" s="9">
        <x:v>139.0</x:v>
      </x:c>
      <x:c r="P11" s="9">
        <x:v>61.0</x:v>
      </x:c>
      <x:c r="Q11" s="9">
        <x:v>164.0</x:v>
      </x:c>
      <x:c r="R11" s="9">
        <x:v>157.0</x:v>
      </x:c>
      <x:c r="S11" s="9">
        <x:v>152.0</x:v>
      </x:c>
      <x:c r="T11" s="9">
        <x:v>130.0</x:v>
      </x:c>
      <x:c r="U11" s="29"/>
      <x:c r="V11" s="28"/>
    </x:row>
    <x:row r="12">
      <x:c r="B12" s="18" t="s">
        <x:v>23</x:v>
      </x:c>
      <x:c r="C12" s="19">
        <x:v>1577.0</x:v>
      </x:c>
      <x:c r="D12" s="9">
        <x:v>12.0</x:v>
      </x:c>
      <x:c r="E12" s="31"/>
      <x:c r="F12" s="31"/>
      <x:c r="G12" s="31"/>
      <x:c r="H12" s="31"/>
      <x:c r="I12" s="31"/>
      <x:c r="J12" s="31"/>
      <x:c r="K12" s="31"/>
      <x:c r="L12" s="31"/>
      <x:c r="M12" s="31"/>
      <x:c r="N12" s="9">
        <x:v>132.0</x:v>
      </x:c>
      <x:c r="O12" s="9">
        <x:v>117.0</x:v>
      </x:c>
      <x:c r="P12" s="9">
        <x:v>132.0</x:v>
      </x:c>
      <x:c r="Q12" s="9">
        <x:v>123.0</x:v>
      </x:c>
      <x:c r="R12" s="9">
        <x:v>27.0</x:v>
      </x:c>
      <x:c r="S12" s="9">
        <x:v>131.0</x:v>
      </x:c>
      <x:c r="T12" s="9">
        <x:v>81.0</x:v>
      </x:c>
      <x:c r="U12" s="29"/>
      <x:c r="V12" s="28"/>
    </x:row>
    <x:row r="13">
      <x:c r="B13" s="18" t="s">
        <x:v>24</x:v>
      </x:c>
      <x:c r="C13" s="19">
        <x:v>2070.0</x:v>
      </x:c>
      <x:c r="D13" s="9">
        <x:v>5.0</x:v>
      </x:c>
      <x:c r="E13" s="31"/>
      <x:c r="F13" s="31"/>
      <x:c r="G13" s="31"/>
      <x:c r="H13" s="31"/>
      <x:c r="I13" s="31"/>
      <x:c r="J13" s="31"/>
      <x:c r="K13" s="31"/>
      <x:c r="L13" s="31"/>
      <x:c r="M13" s="31"/>
      <x:c r="N13" s="9">
        <x:v>21.0</x:v>
      </x:c>
      <x:c r="O13" s="9">
        <x:v>184.0</x:v>
      </x:c>
      <x:c r="P13" s="9">
        <x:v>50.0</x:v>
      </x:c>
      <x:c r="Q13" s="9">
        <x:v>58.0</x:v>
      </x:c>
      <x:c r="R13" s="9">
        <x:v>89.0</x:v>
      </x:c>
      <x:c r="S13" s="9">
        <x:v>57.0</x:v>
      </x:c>
      <x:c r="T13" s="9">
        <x:v>14.0</x:v>
      </x:c>
      <x:c r="U13" s="29"/>
      <x:c r="V13" s="28"/>
    </x:row>
    <x:row r="14">
      <x:c r="B14" s="18" t="s">
        <x:v>25</x:v>
      </x:c>
      <x:c r="C14" s="19">
        <x:v>1154.0</x:v>
      </x:c>
      <x:c r="D14" s="9">
        <x:v>11.0</x:v>
      </x:c>
      <x:c r="E14" s="31"/>
      <x:c r="F14" s="31"/>
      <x:c r="G14" s="31"/>
      <x:c r="H14" s="31"/>
      <x:c r="I14" s="31"/>
      <x:c r="J14" s="31"/>
      <x:c r="K14" s="31"/>
      <x:c r="L14" s="31"/>
      <x:c r="M14" s="31"/>
      <x:c r="N14" s="9">
        <x:v>166.0</x:v>
      </x:c>
      <x:c r="O14" s="9">
        <x:v>104.0</x:v>
      </x:c>
      <x:c r="P14" s="9">
        <x:v>1.0</x:v>
      </x:c>
      <x:c r="Q14" s="9">
        <x:v>2.0</x:v>
      </x:c>
      <x:c r="R14" s="9">
        <x:v>70.0</x:v>
      </x:c>
      <x:c r="S14" s="9">
        <x:v>22.0</x:v>
      </x:c>
      <x:c r="T14" s="9">
        <x:v>85.0</x:v>
      </x:c>
      <x:c r="U14" s="29"/>
      <x:c r="V14" s="28"/>
    </x:row>
    <x:row r="15">
      <x:c r="B15" s="18" t="s">
        <x:v>26</x:v>
      </x:c>
      <x:c r="C15" s="19">
        <x:v>8113.0</x:v>
      </x:c>
      <x:c r="D15" s="9">
        <x:v>3.0</x:v>
      </x:c>
      <x:c r="E15" s="31"/>
      <x:c r="F15" s="31"/>
      <x:c r="G15" s="31"/>
      <x:c r="H15" s="31"/>
      <x:c r="I15" s="31"/>
      <x:c r="J15" s="31"/>
      <x:c r="K15" s="31"/>
      <x:c r="L15" s="31"/>
      <x:c r="M15" s="31"/>
      <x:c r="N15" s="9">
        <x:v>123.0</x:v>
      </x:c>
      <x:c r="O15" s="9">
        <x:v>11.0</x:v>
      </x:c>
      <x:c r="P15" s="9">
        <x:v>165.0</x:v>
      </x:c>
      <x:c r="Q15" s="9">
        <x:v>141.0</x:v>
      </x:c>
      <x:c r="R15" s="9">
        <x:v>148.0</x:v>
      </x:c>
      <x:c r="S15" s="9">
        <x:v>61.0</x:v>
      </x:c>
      <x:c r="T15" s="9">
        <x:v>51.0</x:v>
      </x:c>
      <x:c r="U15" s="29"/>
      <x:c r="V15" s="28"/>
    </x:row>
    <x:row r="16">
      <x:c r="B16" s="18" t="s">
        <x:v>27</x:v>
      </x:c>
      <x:c r="C16" s="19">
        <x:v>2148.0</x:v>
      </x:c>
      <x:c r="D16" s="9">
        <x:v>5.0</x:v>
      </x:c>
      <x:c r="E16" s="31"/>
      <x:c r="F16" s="31"/>
      <x:c r="G16" s="31"/>
      <x:c r="H16" s="31"/>
      <x:c r="I16" s="31"/>
      <x:c r="J16" s="31"/>
      <x:c r="K16" s="31"/>
      <x:c r="L16" s="31"/>
      <x:c r="M16" s="31"/>
      <x:c r="N16" s="9">
        <x:v>122.0</x:v>
      </x:c>
      <x:c r="O16" s="9">
        <x:v>84.0</x:v>
      </x:c>
      <x:c r="P16" s="9">
        <x:v>161.0</x:v>
      </x:c>
      <x:c r="Q16" s="9">
        <x:v>197.0</x:v>
      </x:c>
      <x:c r="R16" s="9">
        <x:v>145.0</x:v>
      </x:c>
      <x:c r="S16" s="9">
        <x:v>115.0</x:v>
      </x:c>
      <x:c r="T16" s="9">
        <x:v>196.0</x:v>
      </x:c>
      <x:c r="U16" s="29"/>
      <x:c r="V16" s="28"/>
    </x:row>
    <x:row r="17">
      <x:c r="B17" s="18" t="s">
        <x:v>28</x:v>
      </x:c>
      <x:c r="C17" s="19">
        <x:v>4681.0</x:v>
      </x:c>
      <x:c r="D17" s="9">
        <x:v>2.0</x:v>
      </x:c>
      <x:c r="E17" s="31"/>
      <x:c r="F17" s="31"/>
      <x:c r="G17" s="31"/>
      <x:c r="H17" s="31"/>
      <x:c r="I17" s="31"/>
      <x:c r="J17" s="31"/>
      <x:c r="K17" s="31"/>
      <x:c r="L17" s="31"/>
      <x:c r="M17" s="31"/>
      <x:c r="N17" s="9">
        <x:v>164.0</x:v>
      </x:c>
      <x:c r="O17" s="9">
        <x:v>20.0</x:v>
      </x:c>
      <x:c r="P17" s="9">
        <x:v>163.0</x:v>
      </x:c>
      <x:c r="Q17" s="9">
        <x:v>103.0</x:v>
      </x:c>
      <x:c r="R17" s="9">
        <x:v>160.0</x:v>
      </x:c>
      <x:c r="S17" s="9">
        <x:v>25.0</x:v>
      </x:c>
      <x:c r="T17" s="9">
        <x:v>34.0</x:v>
      </x:c>
      <x:c r="U17" s="31"/>
      <x:c r="V17" s="31"/>
    </x:row>
    <x:row r="18">
      <x:c r="B18" s="18" t="s">
        <x:v>29</x:v>
      </x:c>
      <x:c r="C18" s="19">
        <x:v>4260.0</x:v>
      </x:c>
      <x:c r="D18" s="9">
        <x:v>8.0</x:v>
      </x:c>
      <x:c r="E18" s="31"/>
      <x:c r="F18" s="31"/>
      <x:c r="G18" s="31"/>
      <x:c r="H18" s="31"/>
      <x:c r="I18" s="31"/>
      <x:c r="J18" s="31"/>
      <x:c r="K18" s="31"/>
      <x:c r="L18" s="31"/>
      <x:c r="M18" s="31"/>
      <x:c r="N18" s="9">
        <x:v>8.0</x:v>
      </x:c>
      <x:c r="O18" s="9">
        <x:v>122.0</x:v>
      </x:c>
      <x:c r="P18" s="9">
        <x:v>88.0</x:v>
      </x:c>
      <x:c r="Q18" s="9">
        <x:v>142.0</x:v>
      </x:c>
      <x:c r="R18" s="9">
        <x:v>158.0</x:v>
      </x:c>
      <x:c r="S18" s="9">
        <x:v>157.0</x:v>
      </x:c>
      <x:c r="T18" s="9">
        <x:v>22.0</x:v>
      </x:c>
      <x:c r="U18" s="31"/>
      <x:c r="V18" s="31"/>
    </x:row>
    <x:row r="19">
      <x:c r="B19" s="18" t="s">
        <x:v>30</x:v>
      </x:c>
      <x:c r="C19" s="19">
        <x:v>9255.0</x:v>
      </x:c>
      <x:c r="D19" s="9">
        <x:v>1.0</x:v>
      </x:c>
      <x:c r="E19" s="31"/>
      <x:c r="F19" s="31"/>
      <x:c r="G19" s="31"/>
      <x:c r="H19" s="31"/>
      <x:c r="I19" s="31"/>
      <x:c r="J19" s="31"/>
      <x:c r="K19" s="31"/>
      <x:c r="L19" s="31"/>
      <x:c r="M19" s="31"/>
      <x:c r="N19" s="9">
        <x:v>72.0</x:v>
      </x:c>
      <x:c r="O19" s="9">
        <x:v>141.0</x:v>
      </x:c>
      <x:c r="P19" s="9">
        <x:v>29.0</x:v>
      </x:c>
      <x:c r="Q19" s="9">
        <x:v>183.0</x:v>
      </x:c>
      <x:c r="R19" s="9">
        <x:v>106.0</x:v>
      </x:c>
      <x:c r="S19" s="9">
        <x:v>46.0</x:v>
      </x:c>
      <x:c r="T19" s="9">
        <x:v>34.0</x:v>
      </x:c>
      <x:c r="U19" s="31"/>
      <x:c r="V19" s="31"/>
    </x:row>
    <x:row r="20">
      <x:c r="B20" s="18" t="s">
        <x:v>31</x:v>
      </x:c>
      <x:c r="C20" s="19">
        <x:v>6796.0</x:v>
      </x:c>
      <x:c r="D20" s="9">
        <x:v>3.0</x:v>
      </x:c>
      <x:c r="E20" s="31"/>
      <x:c r="F20" s="31"/>
      <x:c r="G20" s="31"/>
      <x:c r="H20" s="31"/>
      <x:c r="I20" s="31"/>
      <x:c r="J20" s="31"/>
      <x:c r="K20" s="31"/>
      <x:c r="L20" s="31"/>
      <x:c r="M20" s="31"/>
      <x:c r="N20" s="9">
        <x:v>64.0</x:v>
      </x:c>
      <x:c r="O20" s="9">
        <x:v>63.0</x:v>
      </x:c>
      <x:c r="P20" s="9">
        <x:v>98.0</x:v>
      </x:c>
      <x:c r="Q20" s="9">
        <x:v>57.0</x:v>
      </x:c>
      <x:c r="R20" s="9">
        <x:v>163.0</x:v>
      </x:c>
      <x:c r="S20" s="9">
        <x:v>160.0</x:v>
      </x:c>
      <x:c r="T20" s="9">
        <x:v>100.0</x:v>
      </x:c>
    </x:row>
    <x:row r="21">
      <x:c r="B21" s="18" t="s">
        <x:v>32</x:v>
      </x:c>
      <x:c r="C21" s="19">
        <x:v>9938.0</x:v>
      </x:c>
      <x:c r="D21" s="9">
        <x:v>9.0</x:v>
      </x:c>
      <x:c r="E21" s="31"/>
      <x:c r="F21" s="31"/>
      <x:c r="G21" s="31"/>
      <x:c r="H21" s="31"/>
      <x:c r="I21" s="31"/>
      <x:c r="J21" s="31"/>
      <x:c r="K21" s="31"/>
      <x:c r="L21" s="31"/>
      <x:c r="M21" s="31"/>
      <x:c r="N21" s="9">
        <x:v>95.0</x:v>
      </x:c>
      <x:c r="O21" s="9">
        <x:v>5.0</x:v>
      </x:c>
      <x:c r="P21" s="9">
        <x:v>196.0</x:v>
      </x:c>
      <x:c r="Q21" s="9">
        <x:v>197.0</x:v>
      </x:c>
      <x:c r="R21" s="9">
        <x:v>3.0</x:v>
      </x:c>
      <x:c r="S21" s="9">
        <x:v>53.0</x:v>
      </x:c>
      <x:c r="T21" s="9">
        <x:v>114.0</x:v>
      </x:c>
    </x:row>
    <x:row r="22">
      <x:c r="B22" s="18" t="s">
        <x:v>33</x:v>
      </x:c>
      <x:c r="C22" s="19">
        <x:v>2367.0</x:v>
      </x:c>
      <x:c r="D22" s="9">
        <x:v>11.0</x:v>
      </x:c>
      <x:c r="E22" s="31"/>
      <x:c r="F22" s="31"/>
      <x:c r="G22" s="31"/>
      <x:c r="H22" s="31"/>
      <x:c r="I22" s="31"/>
      <x:c r="J22" s="31"/>
      <x:c r="K22" s="31"/>
      <x:c r="L22" s="31"/>
      <x:c r="M22" s="31"/>
      <x:c r="N22" s="9">
        <x:v>28.0</x:v>
      </x:c>
      <x:c r="O22" s="9">
        <x:v>1.0</x:v>
      </x:c>
      <x:c r="P22" s="9">
        <x:v>98.0</x:v>
      </x:c>
      <x:c r="Q22" s="9">
        <x:v>116.0</x:v>
      </x:c>
      <x:c r="R22" s="9">
        <x:v>45.0</x:v>
      </x:c>
      <x:c r="S22" s="9">
        <x:v>180.0</x:v>
      </x:c>
      <x:c r="T22" s="9">
        <x:v>163.0</x:v>
      </x:c>
    </x:row>
    <x:row r="23">
      <x:c r="B23" s="18" t="s">
        <x:v>34</x:v>
      </x:c>
      <x:c r="C23" s="19">
        <x:v>1414.0</x:v>
      </x:c>
      <x:c r="D23" s="9">
        <x:v>6.0</x:v>
      </x:c>
      <x:c r="E23" s="31"/>
      <x:c r="F23" s="31"/>
      <x:c r="G23" s="31"/>
      <x:c r="H23" s="31"/>
      <x:c r="I23" s="31"/>
      <x:c r="J23" s="31"/>
      <x:c r="K23" s="31"/>
      <x:c r="L23" s="31"/>
      <x:c r="M23" s="31"/>
      <x:c r="N23" s="9">
        <x:v>90.0</x:v>
      </x:c>
      <x:c r="O23" s="9">
        <x:v>175.0</x:v>
      </x:c>
      <x:c r="P23" s="9">
        <x:v>1.0</x:v>
      </x:c>
      <x:c r="Q23" s="9">
        <x:v>195.0</x:v>
      </x:c>
      <x:c r="R23" s="9">
        <x:v>41.0</x:v>
      </x:c>
      <x:c r="S23" s="9">
        <x:v>134.0</x:v>
      </x:c>
      <x:c r="T23" s="9">
        <x:v>51.0</x:v>
      </x:c>
    </x:row>
    <x:row r="24">
      <x:c r="B24" s="18" t="s">
        <x:v>35</x:v>
      </x:c>
      <x:c r="C24" s="19">
        <x:v>4147.0</x:v>
      </x:c>
      <x:c r="D24" s="9">
        <x:v>1.0</x:v>
      </x:c>
      <x:c r="E24" s="31"/>
      <x:c r="F24" s="31"/>
      <x:c r="G24" s="31"/>
      <x:c r="H24" s="31"/>
      <x:c r="I24" s="31"/>
      <x:c r="J24" s="31"/>
      <x:c r="K24" s="31"/>
      <x:c r="L24" s="31"/>
      <x:c r="M24" s="31"/>
      <x:c r="N24" s="9">
        <x:v>165.0</x:v>
      </x:c>
      <x:c r="O24" s="9">
        <x:v>151.0</x:v>
      </x:c>
      <x:c r="P24" s="9">
        <x:v>183.0</x:v>
      </x:c>
      <x:c r="Q24" s="9">
        <x:v>117.0</x:v>
      </x:c>
      <x:c r="R24" s="9">
        <x:v>30.0</x:v>
      </x:c>
      <x:c r="S24" s="9">
        <x:v>181.0</x:v>
      </x:c>
      <x:c r="T24" s="9">
        <x:v>14.0</x:v>
      </x:c>
    </x:row>
    <x:row r="25">
      <x:c r="B25" s="18" t="s">
        <x:v>36</x:v>
      </x:c>
      <x:c r="C25" s="19">
        <x:v>6178.0</x:v>
      </x:c>
      <x:c r="D25" s="9">
        <x:v>5.0</x:v>
      </x:c>
      <x:c r="E25" s="31"/>
      <x:c r="F25" s="31"/>
      <x:c r="G25" s="31"/>
      <x:c r="H25" s="31"/>
      <x:c r="I25" s="31"/>
      <x:c r="J25" s="31"/>
      <x:c r="K25" s="31"/>
      <x:c r="L25" s="31"/>
      <x:c r="M25" s="31"/>
      <x:c r="N25" s="9">
        <x:v>135.0</x:v>
      </x:c>
      <x:c r="O25" s="9">
        <x:v>5.0</x:v>
      </x:c>
      <x:c r="P25" s="9">
        <x:v>157.0</x:v>
      </x:c>
      <x:c r="Q25" s="9">
        <x:v>92.0</x:v>
      </x:c>
      <x:c r="R25" s="9">
        <x:v>90.0</x:v>
      </x:c>
      <x:c r="S25" s="9">
        <x:v>38.0</x:v>
      </x:c>
      <x:c r="T25" s="9">
        <x:v>73.0</x:v>
      </x:c>
    </x:row>
    <x:row r="26">
      <x:c r="B26" s="18" t="s">
        <x:v>37</x:v>
      </x:c>
      <x:c r="C26" s="19">
        <x:v>4490.0</x:v>
      </x:c>
      <x:c r="D26" s="9">
        <x:v>5.0</x:v>
      </x:c>
      <x:c r="E26" s="31"/>
      <x:c r="F26" s="31"/>
      <x:c r="G26" s="31"/>
      <x:c r="H26" s="31"/>
      <x:c r="I26" s="31"/>
      <x:c r="J26" s="31"/>
      <x:c r="K26" s="31"/>
      <x:c r="L26" s="31"/>
      <x:c r="M26" s="31"/>
      <x:c r="N26" s="9">
        <x:v>13.0</x:v>
      </x:c>
      <x:c r="O26" s="9">
        <x:v>35.0</x:v>
      </x:c>
      <x:c r="P26" s="9">
        <x:v>120.0</x:v>
      </x:c>
      <x:c r="Q26" s="9">
        <x:v>190.0</x:v>
      </x:c>
      <x:c r="R26" s="9">
        <x:v>45.0</x:v>
      </x:c>
      <x:c r="S26" s="9">
        <x:v>43.0</x:v>
      </x:c>
      <x:c r="T26" s="9">
        <x:v>122.0</x:v>
      </x:c>
    </x:row>
    <x:row r="27">
      <x:c r="B27" s="18" t="s">
        <x:v>38</x:v>
      </x:c>
      <x:c r="C27" s="19">
        <x:v>1993.0</x:v>
      </x:c>
      <x:c r="D27" s="9">
        <x:v>7.0</x:v>
      </x:c>
      <x:c r="E27" s="31"/>
      <x:c r="F27" s="31"/>
      <x:c r="G27" s="31"/>
      <x:c r="H27" s="31"/>
      <x:c r="I27" s="31"/>
      <x:c r="J27" s="31"/>
      <x:c r="K27" s="31"/>
      <x:c r="L27" s="31"/>
      <x:c r="M27" s="31"/>
      <x:c r="N27" s="9">
        <x:v>22.0</x:v>
      </x:c>
      <x:c r="O27" s="9">
        <x:v>86.0</x:v>
      </x:c>
      <x:c r="P27" s="9">
        <x:v>44.0</x:v>
      </x:c>
      <x:c r="Q27" s="9">
        <x:v>54.0</x:v>
      </x:c>
      <x:c r="R27" s="9">
        <x:v>171.0</x:v>
      </x:c>
      <x:c r="S27" s="9">
        <x:v>89.0</x:v>
      </x:c>
      <x:c r="T27" s="9">
        <x:v>6.0</x:v>
      </x:c>
    </x:row>
    <x:row r="28">
      <x:c r="B28" s="18" t="s">
        <x:v>39</x:v>
      </x:c>
      <x:c r="C28" s="19">
        <x:v>1554.0</x:v>
      </x:c>
      <x:c r="D28" s="9">
        <x:v>12.0</x:v>
      </x:c>
      <x:c r="E28" s="31"/>
      <x:c r="F28" s="39"/>
      <x:c r="G28" s="31"/>
      <x:c r="H28" s="31"/>
      <x:c r="I28" s="31"/>
      <x:c r="J28" s="31"/>
      <x:c r="K28" s="31"/>
      <x:c r="L28" s="31"/>
      <x:c r="M28" s="31"/>
      <x:c r="N28" s="31">
        <x:v>133.0</x:v>
      </x:c>
      <x:c r="O28" s="9">
        <x:v>158.0</x:v>
      </x:c>
      <x:c r="P28" s="9">
        <x:v>154.0</x:v>
      </x:c>
      <x:c r="Q28" s="9">
        <x:v>21.0</x:v>
      </x:c>
      <x:c r="R28" s="9">
        <x:v>50.0</x:v>
      </x:c>
      <x:c r="S28" s="9">
        <x:v>33.0</x:v>
      </x:c>
      <x:c r="T28" s="9">
        <x:v>15.0</x:v>
      </x:c>
    </x:row>
    <x:row r="29">
      <x:c r="B29" s="8" t="s">
        <x:v>40</x:v>
      </x:c>
      <x:c r="C29" s="10">
        <x:v>7948.0</x:v>
      </x:c>
      <x:c r="D29" s="9">
        <x:v>5.0</x:v>
      </x:c>
      <x:c r="E29" s="31"/>
      <x:c r="F29" s="31"/>
      <x:c r="G29" s="31"/>
      <x:c r="H29" s="31"/>
      <x:c r="I29" s="31"/>
      <x:c r="J29" s="31"/>
      <x:c r="K29" s="31"/>
      <x:c r="L29" s="31"/>
      <x:c r="M29" s="31"/>
      <x:c r="N29" s="9">
        <x:v>42.0</x:v>
      </x:c>
      <x:c r="O29" s="9">
        <x:v>161.0</x:v>
      </x:c>
      <x:c r="P29" s="9">
        <x:v>45.0</x:v>
      </x:c>
      <x:c r="Q29" s="9">
        <x:v>70.0</x:v>
      </x:c>
      <x:c r="R29" s="9">
        <x:v>32.0</x:v>
      </x:c>
      <x:c r="S29" s="9">
        <x:v>180.0</x:v>
      </x:c>
      <x:c r="T29" s="9">
        <x:v>137.0</x:v>
      </x:c>
    </x:row>
    <x:row r="30">
      <x:c r="B30" s="8" t="s">
        <x:v>41</x:v>
      </x:c>
      <x:c r="C30" s="10">
        <x:v>7746.0</x:v>
      </x:c>
      <x:c r="D30" s="9">
        <x:v>4.0</x:v>
      </x:c>
      <x:c r="N30" s="9">
        <x:v>136.0</x:v>
      </x:c>
      <x:c r="O30" s="9">
        <x:v>55.0</x:v>
      </x:c>
      <x:c r="P30" s="9">
        <x:v>174.0</x:v>
      </x:c>
      <x:c r="Q30" s="9">
        <x:v>75.0</x:v>
      </x:c>
      <x:c r="R30" s="9">
        <x:v>84.0</x:v>
      </x:c>
      <x:c r="S30" s="9">
        <x:v>196.0</x:v>
      </x:c>
      <x:c r="T30" s="9">
        <x:v>11.0</x:v>
      </x:c>
    </x:row>
    <x:row r="31">
      <x:c r="B31" s="8" t="s">
        <x:v>42</x:v>
      </x:c>
      <x:c r="C31" s="10">
        <x:v>6041.0</x:v>
      </x:c>
      <x:c r="D31" s="9">
        <x:v>9.0</x:v>
      </x:c>
      <x:c r="N31" s="9">
        <x:v>184.0</x:v>
      </x:c>
      <x:c r="O31" s="9">
        <x:v>122.0</x:v>
      </x:c>
      <x:c r="P31" s="9">
        <x:v>170.0</x:v>
      </x:c>
      <x:c r="Q31" s="9">
        <x:v>28.0</x:v>
      </x:c>
      <x:c r="R31" s="9">
        <x:v>74.0</x:v>
      </x:c>
      <x:c r="S31" s="9">
        <x:v>90.0</x:v>
      </x:c>
      <x:c r="T31" s="9">
        <x:v>37.0</x:v>
      </x:c>
    </x:row>
    <x:row r="32">
      <x:c r="B32" s="8" t="s">
        <x:v>43</x:v>
      </x:c>
      <x:c r="C32" s="10">
        <x:v>2260.0</x:v>
      </x:c>
      <x:c r="D32" s="9">
        <x:v>7.0</x:v>
      </x:c>
      <x:c r="N32" s="9">
        <x:v>0.0</x:v>
      </x:c>
      <x:c r="O32" s="9">
        <x:v>72.0</x:v>
      </x:c>
      <x:c r="P32" s="9">
        <x:v>30.0</x:v>
      </x:c>
      <x:c r="Q32" s="9">
        <x:v>81.0</x:v>
      </x:c>
      <x:c r="R32" s="9">
        <x:v>180.0</x:v>
      </x:c>
      <x:c r="S32" s="9">
        <x:v>177.0</x:v>
      </x:c>
      <x:c r="T32" s="9">
        <x:v>52.0</x:v>
      </x:c>
    </x:row>
    <x:row r="33">
      <x:c r="B33" s="8" t="s">
        <x:v>44</x:v>
      </x:c>
      <x:c r="C33" s="10">
        <x:v>7561.0</x:v>
      </x:c>
      <x:c r="D33" s="9">
        <x:v>11.0</x:v>
      </x:c>
      <x:c r="N33" s="9">
        <x:v>3.0</x:v>
      </x:c>
      <x:c r="O33" s="9">
        <x:v>111.0</x:v>
      </x:c>
      <x:c r="P33" s="9">
        <x:v>76.0</x:v>
      </x:c>
      <x:c r="Q33" s="9">
        <x:v>169.0</x:v>
      </x:c>
      <x:c r="R33" s="9">
        <x:v>168.0</x:v>
      </x:c>
      <x:c r="S33" s="9">
        <x:v>15.0</x:v>
      </x:c>
      <x:c r="T33" s="9">
        <x:v>184.0</x:v>
      </x:c>
    </x:row>
    <x:row r="34">
      <x:c r="B34" s="8" t="s">
        <x:v>45</x:v>
      </x:c>
      <x:c r="C34" s="10">
        <x:v>4298.0</x:v>
      </x:c>
      <x:c r="D34" s="9">
        <x:v>12.0</x:v>
      </x:c>
      <x:c r="N34" s="9">
        <x:v>173.0</x:v>
      </x:c>
      <x:c r="O34" s="9">
        <x:v>10.0</x:v>
      </x:c>
      <x:c r="P34" s="9">
        <x:v>148.0</x:v>
      </x:c>
      <x:c r="Q34" s="9">
        <x:v>1.0</x:v>
      </x:c>
      <x:c r="R34" s="9">
        <x:v>177.0</x:v>
      </x:c>
      <x:c r="S34" s="9">
        <x:v>92.0</x:v>
      </x:c>
      <x:c r="T34" s="9">
        <x:v>142.0</x:v>
      </x:c>
    </x:row>
    <x:row r="35">
      <x:c r="B35" s="8" t="s">
        <x:v>46</x:v>
      </x:c>
      <x:c r="C35" s="10">
        <x:v>9726.0</x:v>
      </x:c>
      <x:c r="D35" s="9">
        <x:v>2.0</x:v>
      </x:c>
      <x:c r="N35" s="9">
        <x:v>50.0</x:v>
      </x:c>
      <x:c r="O35" s="9">
        <x:v>185.0</x:v>
      </x:c>
      <x:c r="P35" s="9">
        <x:v>117.0</x:v>
      </x:c>
      <x:c r="Q35" s="9">
        <x:v>62.0</x:v>
      </x:c>
      <x:c r="R35" s="9">
        <x:v>149.0</x:v>
      </x:c>
      <x:c r="S35" s="9">
        <x:v>92.0</x:v>
      </x:c>
      <x:c r="T35" s="9">
        <x:v>124.0</x:v>
      </x:c>
    </x:row>
    <x:row r="36">
      <x:c r="B36" s="8" t="s">
        <x:v>47</x:v>
      </x:c>
      <x:c r="C36" s="10">
        <x:v>7591.0</x:v>
      </x:c>
      <x:c r="D36" s="9">
        <x:v>2.0</x:v>
      </x:c>
      <x:c r="N36" s="9">
        <x:v>84.0</x:v>
      </x:c>
      <x:c r="O36" s="9">
        <x:v>110.0</x:v>
      </x:c>
      <x:c r="P36" s="9">
        <x:v>187.0</x:v>
      </x:c>
      <x:c r="Q36" s="9">
        <x:v>44.0</x:v>
      </x:c>
      <x:c r="R36" s="9">
        <x:v>101.0</x:v>
      </x:c>
      <x:c r="S36" s="9">
        <x:v>3.0</x:v>
      </x:c>
      <x:c r="T36" s="9">
        <x:v>28.0</x:v>
      </x:c>
    </x:row>
    <x:row r="37">
      <x:c r="B37" s="8" t="s">
        <x:v>48</x:v>
      </x:c>
      <x:c r="C37" s="10">
        <x:v>7113.0</x:v>
      </x:c>
      <x:c r="D37" s="9">
        <x:v>8.0</x:v>
      </x:c>
      <x:c r="N37" s="9">
        <x:v>152.0</x:v>
      </x:c>
      <x:c r="O37" s="9">
        <x:v>4.0</x:v>
      </x:c>
      <x:c r="P37" s="9">
        <x:v>8.0</x:v>
      </x:c>
      <x:c r="Q37" s="9">
        <x:v>28.0</x:v>
      </x:c>
      <x:c r="R37" s="9">
        <x:v>164.0</x:v>
      </x:c>
      <x:c r="S37" s="9">
        <x:v>110.0</x:v>
      </x:c>
      <x:c r="T37" s="9">
        <x:v>176.0</x:v>
      </x:c>
    </x:row>
    <x:row r="38">
      <x:c r="B38" s="8" t="s">
        <x:v>49</x:v>
      </x:c>
      <x:c r="C38" s="10">
        <x:v>3083.0</x:v>
      </x:c>
      <x:c r="D38" s="9">
        <x:v>9.0</x:v>
      </x:c>
      <x:c r="N38" s="9">
        <x:v>63.0</x:v>
      </x:c>
      <x:c r="O38" s="9">
        <x:v>73.0</x:v>
      </x:c>
      <x:c r="P38" s="9">
        <x:v>175.0</x:v>
      </x:c>
      <x:c r="Q38" s="9">
        <x:v>3.0</x:v>
      </x:c>
      <x:c r="R38" s="9">
        <x:v>106.0</x:v>
      </x:c>
      <x:c r="S38" s="9">
        <x:v>105.0</x:v>
      </x:c>
      <x:c r="T38" s="9">
        <x:v>17.0</x:v>
      </x:c>
    </x:row>
    <x:row r="39">
      <x:c r="B39" s="8" t="s">
        <x:v>50</x:v>
      </x:c>
      <x:c r="C39" s="10">
        <x:v>9299.0</x:v>
      </x:c>
      <x:c r="D39" s="9">
        <x:v>12.0</x:v>
      </x:c>
      <x:c r="N39" s="9">
        <x:v>98.0</x:v>
      </x:c>
      <x:c r="O39" s="9">
        <x:v>96.0</x:v>
      </x:c>
      <x:c r="P39" s="9">
        <x:v>94.0</x:v>
      </x:c>
      <x:c r="Q39" s="9">
        <x:v>135.0</x:v>
      </x:c>
      <x:c r="R39" s="9">
        <x:v>191.0</x:v>
      </x:c>
      <x:c r="S39" s="9">
        <x:v>68.0</x:v>
      </x:c>
      <x:c r="T39" s="9">
        <x:v>173.0</x:v>
      </x:c>
    </x:row>
    <x:row r="40">
      <x:c r="B40" s="8" t="s">
        <x:v>51</x:v>
      </x:c>
      <x:c r="C40" s="10">
        <x:v>7951.0</x:v>
      </x:c>
      <x:c r="D40" s="9">
        <x:v>9.0</x:v>
      </x:c>
      <x:c r="N40" s="9">
        <x:v>184.0</x:v>
      </x:c>
      <x:c r="O40" s="9">
        <x:v>18.0</x:v>
      </x:c>
      <x:c r="P40" s="9">
        <x:v>99.0</x:v>
      </x:c>
      <x:c r="Q40" s="9">
        <x:v>3.0</x:v>
      </x:c>
      <x:c r="R40" s="9">
        <x:v>9.0</x:v>
      </x:c>
      <x:c r="S40" s="9">
        <x:v>195.0</x:v>
      </x:c>
      <x:c r="T40" s="9">
        <x:v>34.0</x:v>
      </x:c>
    </x:row>
    <x:row r="41">
      <x:c r="B41" s="8" t="s">
        <x:v>52</x:v>
      </x:c>
      <x:c r="C41" s="10">
        <x:v>1277.0</x:v>
      </x:c>
      <x:c r="D41" s="9">
        <x:v>1.0</x:v>
      </x:c>
      <x:c r="N41" s="9">
        <x:v>71.0</x:v>
      </x:c>
      <x:c r="O41" s="9">
        <x:v>35.0</x:v>
      </x:c>
      <x:c r="P41" s="9">
        <x:v>186.0</x:v>
      </x:c>
      <x:c r="Q41" s="9">
        <x:v>13.0</x:v>
      </x:c>
      <x:c r="R41" s="9">
        <x:v>98.0</x:v>
      </x:c>
      <x:c r="S41" s="9">
        <x:v>181.0</x:v>
      </x:c>
      <x:c r="T41" s="9">
        <x:v>78.0</x:v>
      </x:c>
    </x:row>
    <x:row r="42">
      <x:c r="B42" s="8" t="s">
        <x:v>53</x:v>
      </x:c>
      <x:c r="C42" s="10">
        <x:v>5592.0</x:v>
      </x:c>
      <x:c r="D42" s="9">
        <x:v>6.0</x:v>
      </x:c>
      <x:c r="N42" s="9">
        <x:v>152.0</x:v>
      </x:c>
      <x:c r="O42" s="9">
        <x:v>195.0</x:v>
      </x:c>
      <x:c r="P42" s="9">
        <x:v>118.0</x:v>
      </x:c>
      <x:c r="Q42" s="9">
        <x:v>60.0</x:v>
      </x:c>
      <x:c r="R42" s="9">
        <x:v>118.0</x:v>
      </x:c>
      <x:c r="S42" s="9">
        <x:v>174.0</x:v>
      </x:c>
      <x:c r="T42" s="9">
        <x:v>176.0</x:v>
      </x:c>
    </x:row>
    <x:row r="43">
      <x:c r="B43" s="8" t="s">
        <x:v>54</x:v>
      </x:c>
      <x:c r="C43" s="10">
        <x:v>4587.0</x:v>
      </x:c>
      <x:c r="D43" s="9">
        <x:v>5.0</x:v>
      </x:c>
      <x:c r="N43" s="9">
        <x:v>50.0</x:v>
      </x:c>
      <x:c r="O43" s="9">
        <x:v>0.0</x:v>
      </x:c>
      <x:c r="P43" s="9">
        <x:v>68.0</x:v>
      </x:c>
      <x:c r="Q43" s="9">
        <x:v>106.0</x:v>
      </x:c>
      <x:c r="R43" s="9">
        <x:v>107.0</x:v>
      </x:c>
      <x:c r="S43" s="9">
        <x:v>127.0</x:v>
      </x:c>
      <x:c r="T43" s="9">
        <x:v>55.0</x:v>
      </x:c>
    </x:row>
    <x:row r="44">
      <x:c r="B44" s="8" t="s">
        <x:v>55</x:v>
      </x:c>
      <x:c r="C44" s="10">
        <x:v>2128.0</x:v>
      </x:c>
      <x:c r="D44" s="9">
        <x:v>1.0</x:v>
      </x:c>
      <x:c r="N44" s="9">
        <x:v>20.0</x:v>
      </x:c>
      <x:c r="O44" s="9">
        <x:v>25.0</x:v>
      </x:c>
      <x:c r="P44" s="9">
        <x:v>27.0</x:v>
      </x:c>
      <x:c r="Q44" s="9">
        <x:v>73.0</x:v>
      </x:c>
      <x:c r="R44" s="9">
        <x:v>182.0</x:v>
      </x:c>
      <x:c r="S44" s="9">
        <x:v>155.0</x:v>
      </x:c>
      <x:c r="T44" s="9">
        <x:v>77.0</x:v>
      </x:c>
    </x:row>
    <x:row r="45">
      <x:c r="B45" s="8" t="s">
        <x:v>56</x:v>
      </x:c>
      <x:c r="C45" s="10">
        <x:v>3294.0</x:v>
      </x:c>
      <x:c r="D45" s="9">
        <x:v>1.0</x:v>
      </x:c>
      <x:c r="N45" s="9">
        <x:v>148.0</x:v>
      </x:c>
      <x:c r="O45" s="9">
        <x:v>112.0</x:v>
      </x:c>
      <x:c r="P45" s="9">
        <x:v>10.0</x:v>
      </x:c>
      <x:c r="Q45" s="9">
        <x:v>131.0</x:v>
      </x:c>
      <x:c r="R45" s="9">
        <x:v>141.0</x:v>
      </x:c>
      <x:c r="S45" s="9">
        <x:v>151.0</x:v>
      </x:c>
      <x:c r="T45" s="9">
        <x:v>27.0</x:v>
      </x:c>
    </x:row>
    <x:row r="46">
      <x:c r="B46" s="8" t="s">
        <x:v>57</x:v>
      </x:c>
      <x:c r="C46" s="10">
        <x:v>7714.0</x:v>
      </x:c>
      <x:c r="D46" s="9">
        <x:v>4.0</x:v>
      </x:c>
      <x:c r="N46" s="9">
        <x:v>44.0</x:v>
      </x:c>
      <x:c r="O46" s="9">
        <x:v>36.0</x:v>
      </x:c>
      <x:c r="P46" s="9">
        <x:v>126.0</x:v>
      </x:c>
      <x:c r="Q46" s="9">
        <x:v>61.0</x:v>
      </x:c>
      <x:c r="R46" s="9">
        <x:v>43.0</x:v>
      </x:c>
      <x:c r="S46" s="9">
        <x:v>80.0</x:v>
      </x:c>
      <x:c r="T46" s="9">
        <x:v>173.0</x:v>
      </x:c>
    </x:row>
    <x:row r="47">
      <x:c r="B47" s="8" t="s">
        <x:v>58</x:v>
      </x:c>
      <x:c r="C47" s="10">
        <x:v>1115.0</x:v>
      </x:c>
      <x:c r="D47" s="9">
        <x:v>3.0</x:v>
      </x:c>
      <x:c r="N47" s="9">
        <x:v>60.0</x:v>
      </x:c>
      <x:c r="O47" s="9">
        <x:v>127.0</x:v>
      </x:c>
      <x:c r="P47" s="9">
        <x:v>21.0</x:v>
      </x:c>
      <x:c r="Q47" s="9">
        <x:v>63.0</x:v>
      </x:c>
      <x:c r="R47" s="9">
        <x:v>46.0</x:v>
      </x:c>
      <x:c r="S47" s="9">
        <x:v>122.0</x:v>
      </x:c>
      <x:c r="T47" s="9">
        <x:v>2.0</x:v>
      </x:c>
    </x:row>
    <x:row r="48">
      <x:c r="B48" s="8" t="s">
        <x:v>59</x:v>
      </x:c>
      <x:c r="C48" s="10">
        <x:v>6248.0</x:v>
      </x:c>
      <x:c r="D48" s="9">
        <x:v>7.0</x:v>
      </x:c>
      <x:c r="N48" s="9">
        <x:v>93.0</x:v>
      </x:c>
      <x:c r="O48" s="9">
        <x:v>97.0</x:v>
      </x:c>
      <x:c r="P48" s="9">
        <x:v>97.0</x:v>
      </x:c>
      <x:c r="Q48" s="9">
        <x:v>14.0</x:v>
      </x:c>
      <x:c r="R48" s="9">
        <x:v>179.0</x:v>
      </x:c>
      <x:c r="S48" s="9">
        <x:v>124.0</x:v>
      </x:c>
      <x:c r="T48" s="9">
        <x:v>137.0</x:v>
      </x:c>
    </x:row>
    <x:row r="49">
      <x:c r="B49" s="8" t="s">
        <x:v>60</x:v>
      </x:c>
      <x:c r="C49" s="10">
        <x:v>6959.0</x:v>
      </x:c>
      <x:c r="D49" s="9">
        <x:v>5.0</x:v>
      </x:c>
      <x:c r="N49" s="9">
        <x:v>199.0</x:v>
      </x:c>
      <x:c r="O49" s="9">
        <x:v>10.0</x:v>
      </x:c>
      <x:c r="P49" s="9">
        <x:v>48.0</x:v>
      </x:c>
      <x:c r="Q49" s="9">
        <x:v>31.0</x:v>
      </x:c>
      <x:c r="R49" s="9">
        <x:v>121.0</x:v>
      </x:c>
      <x:c r="S49" s="9">
        <x:v>155.0</x:v>
      </x:c>
      <x:c r="T49" s="9">
        <x:v>125.0</x:v>
      </x:c>
    </x:row>
    <x:row r="50">
      <x:c r="B50" s="8" t="s">
        <x:v>61</x:v>
      </x:c>
      <x:c r="C50" s="10">
        <x:v>1871.0</x:v>
      </x:c>
      <x:c r="D50" s="9">
        <x:v>9.0</x:v>
      </x:c>
      <x:c r="N50" s="9">
        <x:v>175.0</x:v>
      </x:c>
      <x:c r="O50" s="9">
        <x:v>38.0</x:v>
      </x:c>
      <x:c r="P50" s="9">
        <x:v>80.0</x:v>
      </x:c>
      <x:c r="Q50" s="9">
        <x:v>101.0</x:v>
      </x:c>
      <x:c r="R50" s="9">
        <x:v>21.0</x:v>
      </x:c>
      <x:c r="S50" s="9">
        <x:v>3.0</x:v>
      </x:c>
      <x:c r="T50" s="9">
        <x:v>71.0</x:v>
      </x:c>
    </x:row>
    <x:row r="51">
      <x:c r="B51" s="8" t="s">
        <x:v>62</x:v>
      </x:c>
      <x:c r="C51" s="10">
        <x:v>2973.0</x:v>
      </x:c>
      <x:c r="D51" s="9">
        <x:v>8.0</x:v>
      </x:c>
      <x:c r="N51" s="9">
        <x:v>180.0</x:v>
      </x:c>
      <x:c r="O51" s="9">
        <x:v>88.0</x:v>
      </x:c>
      <x:c r="P51" s="9">
        <x:v>180.0</x:v>
      </x:c>
      <x:c r="Q51" s="9">
        <x:v>120.0</x:v>
      </x:c>
      <x:c r="R51" s="9">
        <x:v>65.0</x:v>
      </x:c>
      <x:c r="S51" s="9">
        <x:v>141.0</x:v>
      </x:c>
      <x:c r="T51" s="9">
        <x:v>20.0</x:v>
      </x:c>
    </x:row>
    <x:row r="52">
      <x:c r="B52" s="8" t="s">
        <x:v>63</x:v>
      </x:c>
      <x:c r="C52" s="10">
        <x:v>6739.0</x:v>
      </x:c>
      <x:c r="D52" s="9">
        <x:v>9.0</x:v>
      </x:c>
      <x:c r="N52" s="9">
        <x:v>35.0</x:v>
      </x:c>
      <x:c r="O52" s="9">
        <x:v>79.0</x:v>
      </x:c>
      <x:c r="P52" s="9">
        <x:v>150.0</x:v>
      </x:c>
      <x:c r="Q52" s="9">
        <x:v>74.0</x:v>
      </x:c>
      <x:c r="R52" s="9">
        <x:v>106.0</x:v>
      </x:c>
      <x:c r="S52" s="9">
        <x:v>63.0</x:v>
      </x:c>
      <x:c r="T52" s="9">
        <x:v>68.0</x:v>
      </x:c>
    </x:row>
    <x:row r="53">
      <x:c r="B53" s="8" t="s">
        <x:v>64</x:v>
      </x:c>
      <x:c r="C53" s="10">
        <x:v>2258.0</x:v>
      </x:c>
      <x:c r="D53" s="9">
        <x:v>9.0</x:v>
      </x:c>
      <x:c r="N53" s="9">
        <x:v>135.0</x:v>
      </x:c>
      <x:c r="O53" s="9">
        <x:v>127.0</x:v>
      </x:c>
      <x:c r="P53" s="9">
        <x:v>13.0</x:v>
      </x:c>
      <x:c r="Q53" s="9">
        <x:v>165.0</x:v>
      </x:c>
      <x:c r="R53" s="9">
        <x:v>50.0</x:v>
      </x:c>
      <x:c r="S53" s="9">
        <x:v>147.0</x:v>
      </x:c>
      <x:c r="T53" s="9">
        <x:v>6.0</x:v>
      </x:c>
    </x:row>
    <x:row r="54">
      <x:c r="B54" s="8" t="s">
        <x:v>65</x:v>
      </x:c>
      <x:c r="C54" s="10">
        <x:v>3735.0</x:v>
      </x:c>
      <x:c r="D54" s="9">
        <x:v>8.0</x:v>
      </x:c>
      <x:c r="N54" s="9">
        <x:v>151.0</x:v>
      </x:c>
      <x:c r="O54" s="9">
        <x:v>21.0</x:v>
      </x:c>
      <x:c r="P54" s="9">
        <x:v>58.0</x:v>
      </x:c>
      <x:c r="Q54" s="9">
        <x:v>172.0</x:v>
      </x:c>
      <x:c r="R54" s="9">
        <x:v>48.0</x:v>
      </x:c>
      <x:c r="S54" s="9">
        <x:v>108.0</x:v>
      </x:c>
      <x:c r="T54" s="9">
        <x:v>146.0</x:v>
      </x:c>
    </x:row>
    <x:row r="55">
      <x:c r="B55" s="8" t="s">
        <x:v>66</x:v>
      </x:c>
      <x:c r="C55" s="10">
        <x:v>1465.0</x:v>
      </x:c>
      <x:c r="D55" s="9">
        <x:v>12.0</x:v>
      </x:c>
      <x:c r="N55" s="9">
        <x:v>49.0</x:v>
      </x:c>
      <x:c r="O55" s="9">
        <x:v>166.0</x:v>
      </x:c>
      <x:c r="P55" s="9">
        <x:v>69.0</x:v>
      </x:c>
      <x:c r="Q55" s="9">
        <x:v>133.0</x:v>
      </x:c>
      <x:c r="R55" s="9">
        <x:v>95.0</x:v>
      </x:c>
      <x:c r="S55" s="9">
        <x:v>132.0</x:v>
      </x:c>
      <x:c r="T55" s="9">
        <x:v>22.0</x:v>
      </x:c>
    </x:row>
    <x:row r="56">
      <x:c r="B56" s="8" t="s">
        <x:v>67</x:v>
      </x:c>
      <x:c r="C56" s="10">
        <x:v>1846.0</x:v>
      </x:c>
      <x:c r="D56" s="9">
        <x:v>8.0</x:v>
      </x:c>
      <x:c r="N56" s="9">
        <x:v>151.0</x:v>
      </x:c>
      <x:c r="O56" s="9">
        <x:v>2.0</x:v>
      </x:c>
      <x:c r="P56" s="9">
        <x:v>157.0</x:v>
      </x:c>
      <x:c r="Q56" s="9">
        <x:v>61.0</x:v>
      </x:c>
      <x:c r="R56" s="9">
        <x:v>115.0</x:v>
      </x:c>
      <x:c r="S56" s="9">
        <x:v>170.0</x:v>
      </x:c>
      <x:c r="T56" s="9">
        <x:v>134.0</x:v>
      </x:c>
    </x:row>
    <x:row r="57">
      <x:c r="B57" s="8" t="s">
        <x:v>68</x:v>
      </x:c>
      <x:c r="C57" s="10">
        <x:v>1540.0</x:v>
      </x:c>
      <x:c r="D57" s="9">
        <x:v>10.0</x:v>
      </x:c>
      <x:c r="N57" s="9">
        <x:v>120.0</x:v>
      </x:c>
      <x:c r="O57" s="9">
        <x:v>6.0</x:v>
      </x:c>
      <x:c r="P57" s="9">
        <x:v>93.0</x:v>
      </x:c>
      <x:c r="Q57" s="9">
        <x:v>14.0</x:v>
      </x:c>
      <x:c r="R57" s="9">
        <x:v>156.0</x:v>
      </x:c>
      <x:c r="S57" s="9">
        <x:v>30.0</x:v>
      </x:c>
      <x:c r="T57" s="9">
        <x:v>35.0</x:v>
      </x:c>
    </x:row>
    <x:row r="58">
      <x:c r="B58" s="8" t="s">
        <x:v>69</x:v>
      </x:c>
      <x:c r="C58" s="10">
        <x:v>1325.0</x:v>
      </x:c>
      <x:c r="D58" s="9">
        <x:v>5.0</x:v>
      </x:c>
      <x:c r="N58" s="9">
        <x:v>110.0</x:v>
      </x:c>
      <x:c r="O58" s="9">
        <x:v>130.0</x:v>
      </x:c>
      <x:c r="P58" s="9">
        <x:v>9.0</x:v>
      </x:c>
      <x:c r="Q58" s="9">
        <x:v>32.0</x:v>
      </x:c>
      <x:c r="R58" s="9">
        <x:v>110.0</x:v>
      </x:c>
      <x:c r="S58" s="9">
        <x:v>149.0</x:v>
      </x:c>
      <x:c r="T58" s="9">
        <x:v>199.0</x:v>
      </x:c>
    </x:row>
    <x:row r="59">
      <x:c r="B59" s="8" t="s">
        <x:v>70</x:v>
      </x:c>
      <x:c r="C59" s="10">
        <x:v>1385.0</x:v>
      </x:c>
      <x:c r="D59" s="9">
        <x:v>6.0</x:v>
      </x:c>
      <x:c r="N59" s="9">
        <x:v>90.0</x:v>
      </x:c>
      <x:c r="O59" s="9">
        <x:v>71.0</x:v>
      </x:c>
      <x:c r="P59" s="9">
        <x:v>142.0</x:v>
      </x:c>
      <x:c r="Q59" s="9">
        <x:v>35.0</x:v>
      </x:c>
      <x:c r="R59" s="9">
        <x:v>95.0</x:v>
      </x:c>
      <x:c r="S59" s="9">
        <x:v>50.0</x:v>
      </x:c>
      <x:c r="T59" s="9">
        <x:v>109.0</x:v>
      </x:c>
    </x:row>
    <x:row r="60">
      <x:c r="B60" s="8" t="s">
        <x:v>71</x:v>
      </x:c>
      <x:c r="C60" s="10">
        <x:v>6547.0</x:v>
      </x:c>
      <x:c r="D60" s="9">
        <x:v>6.0</x:v>
      </x:c>
      <x:c r="N60" s="9">
        <x:v>124.0</x:v>
      </x:c>
      <x:c r="O60" s="9">
        <x:v>151.0</x:v>
      </x:c>
      <x:c r="P60" s="9">
        <x:v>100.0</x:v>
      </x:c>
      <x:c r="Q60" s="9">
        <x:v>151.0</x:v>
      </x:c>
      <x:c r="R60" s="9">
        <x:v>136.0</x:v>
      </x:c>
      <x:c r="S60" s="9">
        <x:v>200.0</x:v>
      </x:c>
      <x:c r="T60" s="9">
        <x:v>82.0</x:v>
      </x:c>
    </x:row>
    <x:row r="61">
      <x:c r="B61" s="8" t="s">
        <x:v>72</x:v>
      </x:c>
      <x:c r="C61" s="10">
        <x:v>8753.0</x:v>
      </x:c>
      <x:c r="D61" s="9">
        <x:v>1.0</x:v>
      </x:c>
      <x:c r="N61" s="9">
        <x:v>94.0</x:v>
      </x:c>
      <x:c r="O61" s="9">
        <x:v>100.0</x:v>
      </x:c>
      <x:c r="P61" s="9">
        <x:v>168.0</x:v>
      </x:c>
      <x:c r="Q61" s="9">
        <x:v>47.0</x:v>
      </x:c>
      <x:c r="R61" s="9">
        <x:v>68.0</x:v>
      </x:c>
      <x:c r="S61" s="9">
        <x:v>124.0</x:v>
      </x:c>
      <x:c r="T61" s="9">
        <x:v>80.0</x:v>
      </x:c>
    </x:row>
    <x:row r="62">
      <x:c r="B62" s="8" t="s">
        <x:v>73</x:v>
      </x:c>
      <x:c r="C62" s="10">
        <x:v>6691.0</x:v>
      </x:c>
      <x:c r="D62" s="9">
        <x:v>2.0</x:v>
      </x:c>
      <x:c r="N62" s="9">
        <x:v>147.0</x:v>
      </x:c>
      <x:c r="O62" s="9">
        <x:v>10.0</x:v>
      </x:c>
      <x:c r="P62" s="9">
        <x:v>174.0</x:v>
      </x:c>
      <x:c r="Q62" s="9">
        <x:v>28.0</x:v>
      </x:c>
      <x:c r="R62" s="9">
        <x:v>144.0</x:v>
      </x:c>
      <x:c r="S62" s="9">
        <x:v>193.0</x:v>
      </x:c>
      <x:c r="T62" s="9">
        <x:v>35.0</x:v>
      </x:c>
    </x:row>
    <x:row r="63">
      <x:c r="B63" s="8" t="s">
        <x:v>74</x:v>
      </x:c>
      <x:c r="C63" s="10">
        <x:v>7480.0</x:v>
      </x:c>
      <x:c r="D63" s="9">
        <x:v>2.0</x:v>
      </x:c>
      <x:c r="N63" s="9">
        <x:v>141.0</x:v>
      </x:c>
      <x:c r="O63" s="9">
        <x:v>84.0</x:v>
      </x:c>
      <x:c r="P63" s="9">
        <x:v>86.0</x:v>
      </x:c>
      <x:c r="Q63" s="9">
        <x:v>121.0</x:v>
      </x:c>
      <x:c r="R63" s="9">
        <x:v>22.0</x:v>
      </x:c>
      <x:c r="S63" s="9">
        <x:v>70.0</x:v>
      </x:c>
      <x:c r="T63" s="9">
        <x:v>4.0</x:v>
      </x:c>
    </x:row>
    <x:row r="64">
      <x:c r="B64" s="8" t="s">
        <x:v>75</x:v>
      </x:c>
      <x:c r="C64" s="10">
        <x:v>3203.0</x:v>
      </x:c>
      <x:c r="D64" s="9">
        <x:v>7.0</x:v>
      </x:c>
      <x:c r="N64" s="9">
        <x:v>90.0</x:v>
      </x:c>
      <x:c r="O64" s="9">
        <x:v>195.0</x:v>
      </x:c>
      <x:c r="P64" s="9">
        <x:v>54.0</x:v>
      </x:c>
      <x:c r="Q64" s="9">
        <x:v>125.0</x:v>
      </x:c>
      <x:c r="R64" s="9">
        <x:v>186.0</x:v>
      </x:c>
      <x:c r="S64" s="9">
        <x:v>126.0</x:v>
      </x:c>
      <x:c r="T64" s="9">
        <x:v>150.0</x:v>
      </x:c>
    </x:row>
    <x:row r="65">
      <x:c r="B65" s="8" t="s">
        <x:v>76</x:v>
      </x:c>
      <x:c r="C65" s="10">
        <x:v>3331.0</x:v>
      </x:c>
      <x:c r="D65" s="9">
        <x:v>1.0</x:v>
      </x:c>
      <x:c r="N65" s="9">
        <x:v>156.0</x:v>
      </x:c>
      <x:c r="O65" s="9">
        <x:v>181.0</x:v>
      </x:c>
      <x:c r="P65" s="9">
        <x:v>93.0</x:v>
      </x:c>
      <x:c r="Q65" s="9">
        <x:v>185.0</x:v>
      </x:c>
      <x:c r="R65" s="9">
        <x:v>3.0</x:v>
      </x:c>
      <x:c r="S65" s="9">
        <x:v>195.0</x:v>
      </x:c>
      <x:c r="T65" s="9">
        <x:v>22.0</x:v>
      </x:c>
    </x:row>
    <x:row r="66">
      <x:c r="B66" s="8" t="s">
        <x:v>77</x:v>
      </x:c>
      <x:c r="C66" s="10">
        <x:v>1206.0</x:v>
      </x:c>
      <x:c r="D66" s="9">
        <x:v>7.0</x:v>
      </x:c>
      <x:c r="N66" s="9">
        <x:v>198.0</x:v>
      </x:c>
      <x:c r="O66" s="9">
        <x:v>105.0</x:v>
      </x:c>
      <x:c r="P66" s="9">
        <x:v>31.0</x:v>
      </x:c>
      <x:c r="Q66" s="9">
        <x:v>156.0</x:v>
      </x:c>
      <x:c r="R66" s="9">
        <x:v>23.0</x:v>
      </x:c>
      <x:c r="S66" s="9">
        <x:v>156.0</x:v>
      </x:c>
      <x:c r="T66" s="9">
        <x:v>145.0</x:v>
      </x:c>
    </x:row>
    <x:row r="67">
      <x:c r="B67" s="8" t="s">
        <x:v>78</x:v>
      </x:c>
      <x:c r="C67" s="10">
        <x:v>5309.0</x:v>
      </x:c>
      <x:c r="D67" s="9">
        <x:v>8.0</x:v>
      </x:c>
      <x:c r="N67" s="9">
        <x:v>191.0</x:v>
      </x:c>
      <x:c r="O67" s="9">
        <x:v>19.0</x:v>
      </x:c>
      <x:c r="P67" s="9">
        <x:v>143.0</x:v>
      </x:c>
      <x:c r="Q67" s="9">
        <x:v>168.0</x:v>
      </x:c>
      <x:c r="R67" s="9">
        <x:v>122.0</x:v>
      </x:c>
      <x:c r="S67" s="9">
        <x:v>51.0</x:v>
      </x:c>
      <x:c r="T67" s="9">
        <x:v>130.0</x:v>
      </x:c>
    </x:row>
    <x:row r="68">
      <x:c r="B68" s="8" t="s">
        <x:v>79</x:v>
      </x:c>
      <x:c r="C68" s="10">
        <x:v>7927.0</x:v>
      </x:c>
      <x:c r="D68" s="9">
        <x:v>11.0</x:v>
      </x:c>
      <x:c r="N68" s="9">
        <x:v>14.0</x:v>
      </x:c>
      <x:c r="O68" s="9">
        <x:v>57.0</x:v>
      </x:c>
      <x:c r="P68" s="9">
        <x:v>137.0</x:v>
      </x:c>
      <x:c r="Q68" s="9">
        <x:v>191.0</x:v>
      </x:c>
      <x:c r="R68" s="9">
        <x:v>47.0</x:v>
      </x:c>
      <x:c r="S68" s="9">
        <x:v>19.0</x:v>
      </x:c>
      <x:c r="T68" s="9">
        <x:v>116.0</x:v>
      </x:c>
    </x:row>
    <x:row r="69">
      <x:c r="B69" s="8" t="s">
        <x:v>80</x:v>
      </x:c>
      <x:c r="C69" s="10">
        <x:v>6776.0</x:v>
      </x:c>
      <x:c r="D69" s="9">
        <x:v>11.0</x:v>
      </x:c>
      <x:c r="N69" s="9">
        <x:v>45.0</x:v>
      </x:c>
      <x:c r="O69" s="9">
        <x:v>36.0</x:v>
      </x:c>
      <x:c r="P69" s="9">
        <x:v>149.0</x:v>
      </x:c>
      <x:c r="Q69" s="9">
        <x:v>4.0</x:v>
      </x:c>
      <x:c r="R69" s="9">
        <x:v>179.0</x:v>
      </x:c>
      <x:c r="S69" s="9">
        <x:v>97.0</x:v>
      </x:c>
      <x:c r="T69" s="9">
        <x:v>2.0</x:v>
      </x:c>
    </x:row>
    <x:row r="70">
      <x:c r="B70" s="8" t="s">
        <x:v>81</x:v>
      </x:c>
      <x:c r="C70" s="10">
        <x:v>8163.0</x:v>
      </x:c>
      <x:c r="D70" s="9">
        <x:v>12.0</x:v>
      </x:c>
      <x:c r="N70" s="9">
        <x:v>53.0</x:v>
      </x:c>
      <x:c r="O70" s="9">
        <x:v>69.0</x:v>
      </x:c>
      <x:c r="P70" s="9">
        <x:v>127.0</x:v>
      </x:c>
      <x:c r="Q70" s="9">
        <x:v>88.0</x:v>
      </x:c>
      <x:c r="R70" s="9">
        <x:v>45.0</x:v>
      </x:c>
      <x:c r="S70" s="9">
        <x:v>22.0</x:v>
      </x:c>
      <x:c r="T70" s="9">
        <x:v>12.0</x:v>
      </x:c>
    </x:row>
    <x:row r="71">
      <x:c r="B71" s="8" t="s">
        <x:v>82</x:v>
      </x:c>
      <x:c r="C71" s="10">
        <x:v>7237.0</x:v>
      </x:c>
      <x:c r="D71" s="9">
        <x:v>1.0</x:v>
      </x:c>
      <x:c r="N71" s="9">
        <x:v>194.0</x:v>
      </x:c>
      <x:c r="O71" s="9">
        <x:v>184.0</x:v>
      </x:c>
      <x:c r="P71" s="9">
        <x:v>198.0</x:v>
      </x:c>
      <x:c r="Q71" s="9">
        <x:v>20.0</x:v>
      </x:c>
      <x:c r="R71" s="9">
        <x:v>51.0</x:v>
      </x:c>
      <x:c r="S71" s="9">
        <x:v>140.0</x:v>
      </x:c>
      <x:c r="T71" s="9">
        <x:v>12.0</x:v>
      </x:c>
    </x:row>
    <x:row r="72">
      <x:c r="B72" s="8" t="s">
        <x:v>83</x:v>
      </x:c>
      <x:c r="C72" s="10">
        <x:v>6431.0</x:v>
      </x:c>
      <x:c r="D72" s="9">
        <x:v>4.0</x:v>
      </x:c>
      <x:c r="N72" s="9">
        <x:v>108.0</x:v>
      </x:c>
      <x:c r="O72" s="9">
        <x:v>62.0</x:v>
      </x:c>
      <x:c r="P72" s="9">
        <x:v>43.0</x:v>
      </x:c>
      <x:c r="Q72" s="9">
        <x:v>181.0</x:v>
      </x:c>
      <x:c r="R72" s="9">
        <x:v>43.0</x:v>
      </x:c>
      <x:c r="S72" s="9">
        <x:v>184.0</x:v>
      </x:c>
      <x:c r="T72" s="9">
        <x:v>5.0</x:v>
      </x:c>
    </x:row>
    <x:row r="73">
      <x:c r="B73" s="8" t="s">
        <x:v>84</x:v>
      </x:c>
      <x:c r="C73" s="10">
        <x:v>9836.0</x:v>
      </x:c>
      <x:c r="D73" s="9">
        <x:v>2.0</x:v>
      </x:c>
      <x:c r="N73" s="9">
        <x:v>58.0</x:v>
      </x:c>
      <x:c r="O73" s="9">
        <x:v>130.0</x:v>
      </x:c>
      <x:c r="P73" s="9">
        <x:v>116.0</x:v>
      </x:c>
      <x:c r="Q73" s="9">
        <x:v>5.0</x:v>
      </x:c>
      <x:c r="R73" s="9">
        <x:v>33.0</x:v>
      </x:c>
      <x:c r="S73" s="9">
        <x:v>148.0</x:v>
      </x:c>
      <x:c r="T73" s="9">
        <x:v>78.0</x:v>
      </x:c>
    </x:row>
    <x:row r="74">
      <x:c r="B74" s="8" t="s">
        <x:v>85</x:v>
      </x:c>
      <x:c r="C74" s="10">
        <x:v>9569.0</x:v>
      </x:c>
      <x:c r="D74" s="9">
        <x:v>3.0</x:v>
      </x:c>
      <x:c r="N74" s="9">
        <x:v>77.0</x:v>
      </x:c>
      <x:c r="O74" s="9">
        <x:v>113.0</x:v>
      </x:c>
      <x:c r="P74" s="9">
        <x:v>195.0</x:v>
      </x:c>
      <x:c r="Q74" s="9">
        <x:v>180.0</x:v>
      </x:c>
      <x:c r="R74" s="9">
        <x:v>168.0</x:v>
      </x:c>
      <x:c r="S74" s="9">
        <x:v>12.0</x:v>
      </x:c>
      <x:c r="T74" s="9">
        <x:v>165.0</x:v>
      </x:c>
    </x:row>
    <x:row r="75">
      <x:c r="B75" s="8" t="s">
        <x:v>86</x:v>
      </x:c>
      <x:c r="C75" s="10">
        <x:v>6728.0</x:v>
      </x:c>
      <x:c r="D75" s="9">
        <x:v>1.0</x:v>
      </x:c>
      <x:c r="N75" s="9">
        <x:v>184.0</x:v>
      </x:c>
      <x:c r="O75" s="9">
        <x:v>165.0</x:v>
      </x:c>
      <x:c r="P75" s="9">
        <x:v>0.0</x:v>
      </x:c>
      <x:c r="Q75" s="9">
        <x:v>137.0</x:v>
      </x:c>
      <x:c r="R75" s="9">
        <x:v>179.0</x:v>
      </x:c>
      <x:c r="S75" s="9">
        <x:v>98.0</x:v>
      </x:c>
      <x:c r="T75" s="9">
        <x:v>177.0</x:v>
      </x:c>
    </x:row>
    <x:row r="76">
      <x:c r="B76" s="8" t="s">
        <x:v>87</x:v>
      </x:c>
      <x:c r="C76" s="10">
        <x:v>5084.0</x:v>
      </x:c>
      <x:c r="D76" s="9">
        <x:v>4.0</x:v>
      </x:c>
      <x:c r="N76" s="9">
        <x:v>179.0</x:v>
      </x:c>
      <x:c r="O76" s="9">
        <x:v>90.0</x:v>
      </x:c>
      <x:c r="P76" s="9">
        <x:v>197.0</x:v>
      </x:c>
      <x:c r="Q76" s="9">
        <x:v>179.0</x:v>
      </x:c>
      <x:c r="R76" s="9">
        <x:v>115.0</x:v>
      </x:c>
      <x:c r="S76" s="9">
        <x:v>150.0</x:v>
      </x:c>
      <x:c r="T76" s="9">
        <x:v>1.0</x:v>
      </x:c>
    </x:row>
    <x:row r="77">
      <x:c r="B77" s="8" t="s">
        <x:v>88</x:v>
      </x:c>
      <x:c r="C77" s="10">
        <x:v>5457.0</x:v>
      </x:c>
      <x:c r="D77" s="9">
        <x:v>4.0</x:v>
      </x:c>
      <x:c r="N77" s="9">
        <x:v>27.0</x:v>
      </x:c>
      <x:c r="O77" s="9">
        <x:v>53.0</x:v>
      </x:c>
      <x:c r="P77" s="9">
        <x:v>92.0</x:v>
      </x:c>
      <x:c r="Q77" s="9">
        <x:v>136.0</x:v>
      </x:c>
      <x:c r="R77" s="9">
        <x:v>100.0</x:v>
      </x:c>
      <x:c r="S77" s="9">
        <x:v>137.0</x:v>
      </x:c>
      <x:c r="T77" s="9">
        <x:v>138.0</x:v>
      </x:c>
    </x:row>
    <x:row r="78">
      <x:c r="B78" s="8" t="s">
        <x:v>89</x:v>
      </x:c>
      <x:c r="C78" s="10">
        <x:v>8974.0</x:v>
      </x:c>
      <x:c r="D78" s="9">
        <x:v>2.0</x:v>
      </x:c>
      <x:c r="N78" s="9">
        <x:v>117.0</x:v>
      </x:c>
      <x:c r="O78" s="9">
        <x:v>191.0</x:v>
      </x:c>
      <x:c r="P78" s="9">
        <x:v>166.0</x:v>
      </x:c>
      <x:c r="Q78" s="9">
        <x:v>126.0</x:v>
      </x:c>
      <x:c r="R78" s="9">
        <x:v>149.0</x:v>
      </x:c>
      <x:c r="S78" s="9">
        <x:v>133.0</x:v>
      </x:c>
      <x:c r="T78" s="9">
        <x:v>89.0</x:v>
      </x:c>
    </x:row>
    <x:row r="79">
      <x:c r="B79" s="8" t="s">
        <x:v>90</x:v>
      </x:c>
      <x:c r="C79" s="10">
        <x:v>2477.0</x:v>
      </x:c>
      <x:c r="D79" s="9">
        <x:v>10.0</x:v>
      </x:c>
      <x:c r="N79" s="9">
        <x:v>162.0</x:v>
      </x:c>
      <x:c r="O79" s="9">
        <x:v>103.0</x:v>
      </x:c>
      <x:c r="P79" s="9">
        <x:v>156.0</x:v>
      </x:c>
      <x:c r="Q79" s="9">
        <x:v>20.0</x:v>
      </x:c>
      <x:c r="R79" s="9">
        <x:v>93.0</x:v>
      </x:c>
      <x:c r="S79" s="9">
        <x:v>5.0</x:v>
      </x:c>
      <x:c r="T79" s="9">
        <x:v>171.0</x:v>
      </x:c>
    </x:row>
    <x:row r="80">
      <x:c r="B80" s="8" t="s">
        <x:v>91</x:v>
      </x:c>
      <x:c r="C80" s="10">
        <x:v>6987.0</x:v>
      </x:c>
      <x:c r="D80" s="9">
        <x:v>6.0</x:v>
      </x:c>
      <x:c r="N80" s="9">
        <x:v>23.0</x:v>
      </x:c>
      <x:c r="O80" s="9">
        <x:v>13.0</x:v>
      </x:c>
      <x:c r="P80" s="9">
        <x:v>51.0</x:v>
      </x:c>
      <x:c r="Q80" s="9">
        <x:v>70.0</x:v>
      </x:c>
      <x:c r="R80" s="9">
        <x:v>158.0</x:v>
      </x:c>
      <x:c r="S80" s="9">
        <x:v>106.0</x:v>
      </x:c>
      <x:c r="T80" s="9">
        <x:v>23.0</x:v>
      </x:c>
    </x:row>
    <x:row r="81">
      <x:c r="B81" s="8" t="s">
        <x:v>92</x:v>
      </x:c>
      <x:c r="C81" s="10">
        <x:v>4369.0</x:v>
      </x:c>
      <x:c r="D81" s="9">
        <x:v>2.0</x:v>
      </x:c>
      <x:c r="N81" s="9">
        <x:v>177.0</x:v>
      </x:c>
      <x:c r="O81" s="9">
        <x:v>154.0</x:v>
      </x:c>
      <x:c r="P81" s="9">
        <x:v>4.0</x:v>
      </x:c>
      <x:c r="Q81" s="9">
        <x:v>38.0</x:v>
      </x:c>
      <x:c r="R81" s="9">
        <x:v>38.0</x:v>
      </x:c>
      <x:c r="S81" s="9">
        <x:v>42.0</x:v>
      </x:c>
      <x:c r="T81" s="9">
        <x:v>134.0</x:v>
      </x:c>
    </x:row>
    <x:row r="82">
      <x:c r="B82" s="8" t="s">
        <x:v>93</x:v>
      </x:c>
      <x:c r="C82" s="10">
        <x:v>5685.0</x:v>
      </x:c>
      <x:c r="D82" s="9">
        <x:v>4.0</x:v>
      </x:c>
      <x:c r="N82" s="9">
        <x:v>27.0</x:v>
      </x:c>
      <x:c r="O82" s="9">
        <x:v>187.0</x:v>
      </x:c>
      <x:c r="P82" s="9">
        <x:v>130.0</x:v>
      </x:c>
      <x:c r="Q82" s="9">
        <x:v>63.0</x:v>
      </x:c>
      <x:c r="R82" s="9">
        <x:v>104.0</x:v>
      </x:c>
      <x:c r="S82" s="9">
        <x:v>177.0</x:v>
      </x:c>
      <x:c r="T82" s="9">
        <x:v>28.0</x:v>
      </x:c>
    </x:row>
    <x:row r="83">
      <x:c r="B83" s="8" t="s">
        <x:v>94</x:v>
      </x:c>
      <x:c r="C83" s="10">
        <x:v>2156.0</x:v>
      </x:c>
      <x:c r="D83" s="9">
        <x:v>2.0</x:v>
      </x:c>
      <x:c r="N83" s="9">
        <x:v>170.0</x:v>
      </x:c>
      <x:c r="O83" s="9">
        <x:v>93.0</x:v>
      </x:c>
      <x:c r="P83" s="9">
        <x:v>75.0</x:v>
      </x:c>
      <x:c r="Q83" s="9">
        <x:v>98.0</x:v>
      </x:c>
      <x:c r="R83" s="9">
        <x:v>109.0</x:v>
      </x:c>
      <x:c r="S83" s="9">
        <x:v>184.0</x:v>
      </x:c>
      <x:c r="T83" s="9">
        <x:v>146.0</x:v>
      </x:c>
    </x:row>
    <x:row r="84">
      <x:c r="B84" s="8" t="s">
        <x:v>95</x:v>
      </x:c>
      <x:c r="C84" s="10">
        <x:v>6174.0</x:v>
      </x:c>
      <x:c r="D84" s="9">
        <x:v>1.0</x:v>
      </x:c>
      <x:c r="N84" s="9">
        <x:v>159.0</x:v>
      </x:c>
      <x:c r="O84" s="9">
        <x:v>200.0</x:v>
      </x:c>
      <x:c r="P84" s="9">
        <x:v>171.0</x:v>
      </x:c>
      <x:c r="Q84" s="9">
        <x:v>191.0</x:v>
      </x:c>
      <x:c r="R84" s="9">
        <x:v>48.0</x:v>
      </x:c>
      <x:c r="S84" s="9">
        <x:v>113.0</x:v>
      </x:c>
      <x:c r="T84" s="9">
        <x:v>172.0</x:v>
      </x:c>
    </x:row>
    <x:row r="85">
      <x:c r="B85" s="8" t="s">
        <x:v>96</x:v>
      </x:c>
      <x:c r="C85" s="10">
        <x:v>2232.0</x:v>
      </x:c>
      <x:c r="D85" s="9">
        <x:v>1.0</x:v>
      </x:c>
      <x:c r="N85" s="9">
        <x:v>100.0</x:v>
      </x:c>
      <x:c r="O85" s="9">
        <x:v>168.0</x:v>
      </x:c>
      <x:c r="P85" s="9">
        <x:v>179.0</x:v>
      </x:c>
      <x:c r="Q85" s="9">
        <x:v>79.0</x:v>
      </x:c>
      <x:c r="R85" s="9">
        <x:v>146.0</x:v>
      </x:c>
      <x:c r="S85" s="9">
        <x:v>16.0</x:v>
      </x:c>
      <x:c r="T85" s="9">
        <x:v>138.0</x:v>
      </x:c>
    </x:row>
    <x:row r="86">
      <x:c r="B86" s="8" t="s">
        <x:v>97</x:v>
      </x:c>
      <x:c r="C86" s="10">
        <x:v>3977.0</x:v>
      </x:c>
      <x:c r="D86" s="9">
        <x:v>9.0</x:v>
      </x:c>
      <x:c r="N86" s="9">
        <x:v>114.0</x:v>
      </x:c>
      <x:c r="O86" s="9">
        <x:v>181.0</x:v>
      </x:c>
      <x:c r="P86" s="9">
        <x:v>116.0</x:v>
      </x:c>
      <x:c r="Q86" s="9">
        <x:v>160.0</x:v>
      </x:c>
      <x:c r="R86" s="9">
        <x:v>129.0</x:v>
      </x:c>
      <x:c r="S86" s="9">
        <x:v>12.0</x:v>
      </x:c>
      <x:c r="T86" s="9">
        <x:v>90.0</x:v>
      </x:c>
    </x:row>
    <x:row r="87">
      <x:c r="B87" s="8" t="s">
        <x:v>98</x:v>
      </x:c>
      <x:c r="C87" s="10">
        <x:v>2721.0</x:v>
      </x:c>
      <x:c r="D87" s="9">
        <x:v>10.0</x:v>
      </x:c>
      <x:c r="N87" s="9">
        <x:v>130.0</x:v>
      </x:c>
      <x:c r="O87" s="9">
        <x:v>85.0</x:v>
      </x:c>
      <x:c r="P87" s="9">
        <x:v>63.0</x:v>
      </x:c>
      <x:c r="Q87" s="9">
        <x:v>92.0</x:v>
      </x:c>
      <x:c r="R87" s="9">
        <x:v>164.0</x:v>
      </x:c>
      <x:c r="S87" s="9">
        <x:v>142.0</x:v>
      </x:c>
      <x:c r="T87" s="9">
        <x:v>15.0</x:v>
      </x:c>
    </x:row>
    <x:row r="88">
      <x:c r="B88" s="8" t="s">
        <x:v>99</x:v>
      </x:c>
      <x:c r="C88" s="10">
        <x:v>6435.0</x:v>
      </x:c>
      <x:c r="D88" s="9">
        <x:v>8.0</x:v>
      </x:c>
      <x:c r="N88" s="9">
        <x:v>168.0</x:v>
      </x:c>
      <x:c r="O88" s="9">
        <x:v>70.0</x:v>
      </x:c>
      <x:c r="P88" s="9">
        <x:v>43.0</x:v>
      </x:c>
      <x:c r="Q88" s="9">
        <x:v>117.0</x:v>
      </x:c>
      <x:c r="R88" s="9">
        <x:v>177.0</x:v>
      </x:c>
      <x:c r="S88" s="9">
        <x:v>31.0</x:v>
      </x:c>
      <x:c r="T88" s="9">
        <x:v>184.0</x:v>
      </x:c>
    </x:row>
    <x:row r="89">
      <x:c r="B89" s="8" t="s">
        <x:v>100</x:v>
      </x:c>
      <x:c r="C89" s="10">
        <x:v>5775.0</x:v>
      </x:c>
      <x:c r="D89" s="9">
        <x:v>4.0</x:v>
      </x:c>
      <x:c r="N89" s="9">
        <x:v>166.0</x:v>
      </x:c>
      <x:c r="O89" s="9">
        <x:v>184.0</x:v>
      </x:c>
      <x:c r="P89" s="9">
        <x:v>41.0</x:v>
      </x:c>
      <x:c r="Q89" s="9">
        <x:v>135.0</x:v>
      </x:c>
      <x:c r="R89" s="9">
        <x:v>188.0</x:v>
      </x:c>
      <x:c r="S89" s="9">
        <x:v>88.0</x:v>
      </x:c>
      <x:c r="T89" s="9">
        <x:v>63.0</x:v>
      </x:c>
    </x:row>
    <x:row r="90">
      <x:c r="B90" s="8" t="s">
        <x:v>101</x:v>
      </x:c>
      <x:c r="C90" s="10">
        <x:v>2749.0</x:v>
      </x:c>
      <x:c r="D90" s="9">
        <x:v>2.0</x:v>
      </x:c>
      <x:c r="N90" s="9">
        <x:v>187.0</x:v>
      </x:c>
      <x:c r="O90" s="9">
        <x:v>96.0</x:v>
      </x:c>
      <x:c r="P90" s="9">
        <x:v>21.0</x:v>
      </x:c>
      <x:c r="Q90" s="9">
        <x:v>84.0</x:v>
      </x:c>
      <x:c r="R90" s="9">
        <x:v>19.0</x:v>
      </x:c>
      <x:c r="S90" s="9">
        <x:v>40.0</x:v>
      </x:c>
      <x:c r="T90" s="9">
        <x:v>12.0</x:v>
      </x:c>
    </x:row>
    <x:row r="91">
      <x:c r="B91" s="8" t="s">
        <x:v>102</x:v>
      </x:c>
      <x:c r="C91" s="10">
        <x:v>1282.0</x:v>
      </x:c>
      <x:c r="D91" s="9">
        <x:v>8.0</x:v>
      </x:c>
      <x:c r="N91" s="9">
        <x:v>70.0</x:v>
      </x:c>
      <x:c r="O91" s="9">
        <x:v>172.0</x:v>
      </x:c>
      <x:c r="P91" s="9">
        <x:v>160.0</x:v>
      </x:c>
      <x:c r="Q91" s="9">
        <x:v>103.0</x:v>
      </x:c>
      <x:c r="R91" s="9">
        <x:v>157.0</x:v>
      </x:c>
      <x:c r="S91" s="9">
        <x:v>87.0</x:v>
      </x:c>
      <x:c r="T91" s="9">
        <x:v>112.0</x:v>
      </x:c>
    </x:row>
    <x:row r="92">
      <x:c r="B92" s="8" t="s">
        <x:v>103</x:v>
      </x:c>
      <x:c r="C92" s="10">
        <x:v>1841.0</x:v>
      </x:c>
      <x:c r="D92" s="9">
        <x:v>7.0</x:v>
      </x:c>
      <x:c r="N92" s="9">
        <x:v>185.0</x:v>
      </x:c>
      <x:c r="O92" s="9">
        <x:v>46.0</x:v>
      </x:c>
      <x:c r="P92" s="9">
        <x:v>111.0</x:v>
      </x:c>
      <x:c r="Q92" s="9">
        <x:v>101.0</x:v>
      </x:c>
      <x:c r="R92" s="9">
        <x:v>159.0</x:v>
      </x:c>
      <x:c r="S92" s="9">
        <x:v>98.0</x:v>
      </x:c>
      <x:c r="T92" s="9">
        <x:v>189.0</x:v>
      </x:c>
    </x:row>
    <x:row r="93">
      <x:c r="B93" s="8" t="s">
        <x:v>104</x:v>
      </x:c>
      <x:c r="C93" s="10">
        <x:v>5246.0</x:v>
      </x:c>
      <x:c r="D93" s="9">
        <x:v>11.0</x:v>
      </x:c>
      <x:c r="N93" s="9">
        <x:v>33.0</x:v>
      </x:c>
      <x:c r="O93" s="9">
        <x:v>193.0</x:v>
      </x:c>
      <x:c r="P93" s="9">
        <x:v>176.0</x:v>
      </x:c>
      <x:c r="Q93" s="9">
        <x:v>80.0</x:v>
      </x:c>
      <x:c r="R93" s="9">
        <x:v>170.0</x:v>
      </x:c>
      <x:c r="S93" s="9">
        <x:v>26.0</x:v>
      </x:c>
      <x:c r="T93" s="9">
        <x:v>81.0</x:v>
      </x:c>
    </x:row>
    <x:row r="94">
      <x:c r="B94" s="8" t="s">
        <x:v>105</x:v>
      </x:c>
      <x:c r="C94" s="10">
        <x:v>6624.0</x:v>
      </x:c>
      <x:c r="D94" s="9">
        <x:v>4.0</x:v>
      </x:c>
      <x:c r="N94" s="9">
        <x:v>188.0</x:v>
      </x:c>
      <x:c r="O94" s="9">
        <x:v>195.0</x:v>
      </x:c>
      <x:c r="P94" s="9">
        <x:v>58.0</x:v>
      </x:c>
      <x:c r="Q94" s="9">
        <x:v>196.0</x:v>
      </x:c>
      <x:c r="R94" s="9">
        <x:v>22.0</x:v>
      </x:c>
      <x:c r="S94" s="9">
        <x:v>76.0</x:v>
      </x:c>
      <x:c r="T94" s="9">
        <x:v>179.0</x:v>
      </x:c>
    </x:row>
    <x:row r="95">
      <x:c r="B95" s="8" t="s">
        <x:v>106</x:v>
      </x:c>
      <x:c r="C95" s="10">
        <x:v>9537.0</x:v>
      </x:c>
      <x:c r="D95" s="9">
        <x:v>8.0</x:v>
      </x:c>
      <x:c r="N95" s="9">
        <x:v>67.0</x:v>
      </x:c>
      <x:c r="O95" s="9">
        <x:v>171.0</x:v>
      </x:c>
      <x:c r="P95" s="9">
        <x:v>88.0</x:v>
      </x:c>
      <x:c r="Q95" s="9">
        <x:v>36.0</x:v>
      </x:c>
      <x:c r="R95" s="9">
        <x:v>121.0</x:v>
      </x:c>
      <x:c r="S95" s="9">
        <x:v>199.0</x:v>
      </x:c>
      <x:c r="T95" s="9">
        <x:v>175.0</x:v>
      </x:c>
    </x:row>
    <x:row r="96">
      <x:c r="B96" s="8" t="s">
        <x:v>107</x:v>
      </x:c>
      <x:c r="C96" s="10">
        <x:v>1801.0</x:v>
      </x:c>
      <x:c r="D96" s="9">
        <x:v>3.0</x:v>
      </x:c>
      <x:c r="N96" s="9">
        <x:v>25.0</x:v>
      </x:c>
      <x:c r="O96" s="9">
        <x:v>178.0</x:v>
      </x:c>
      <x:c r="P96" s="9">
        <x:v>192.0</x:v>
      </x:c>
      <x:c r="Q96" s="9">
        <x:v>165.0</x:v>
      </x:c>
      <x:c r="R96" s="9">
        <x:v>30.0</x:v>
      </x:c>
      <x:c r="S96" s="9">
        <x:v>49.0</x:v>
      </x:c>
      <x:c r="T96" s="9">
        <x:v>182.0</x:v>
      </x:c>
    </x:row>
    <x:row r="97">
      <x:c r="B97" s="8" t="s">
        <x:v>108</x:v>
      </x:c>
      <x:c r="C97" s="10">
        <x:v>2795.0</x:v>
      </x:c>
      <x:c r="D97" s="9">
        <x:v>4.0</x:v>
      </x:c>
      <x:c r="N97" s="9">
        <x:v>127.0</x:v>
      </x:c>
      <x:c r="O97" s="9">
        <x:v>91.0</x:v>
      </x:c>
      <x:c r="P97" s="9">
        <x:v>161.0</x:v>
      </x:c>
      <x:c r="Q97" s="9">
        <x:v>132.0</x:v>
      </x:c>
      <x:c r="R97" s="9">
        <x:v>62.0</x:v>
      </x:c>
      <x:c r="S97" s="9">
        <x:v>32.0</x:v>
      </x:c>
      <x:c r="T97" s="9">
        <x:v>168.0</x:v>
      </x:c>
    </x:row>
    <x:row r="98">
      <x:c r="B98" s="8" t="s">
        <x:v>109</x:v>
      </x:c>
      <x:c r="C98" s="10">
        <x:v>9671.0</x:v>
      </x:c>
      <x:c r="D98" s="9">
        <x:v>5.0</x:v>
      </x:c>
      <x:c r="N98" s="9">
        <x:v>165.0</x:v>
      </x:c>
      <x:c r="O98" s="9">
        <x:v>127.0</x:v>
      </x:c>
      <x:c r="P98" s="9">
        <x:v>154.0</x:v>
      </x:c>
      <x:c r="Q98" s="9">
        <x:v>53.0</x:v>
      </x:c>
      <x:c r="R98" s="9">
        <x:v>11.0</x:v>
      </x:c>
      <x:c r="S98" s="9">
        <x:v>0.0</x:v>
      </x:c>
      <x:c r="T98" s="9">
        <x:v>157.0</x:v>
      </x:c>
    </x:row>
    <x:row r="99">
      <x:c r="B99" s="8" t="s">
        <x:v>110</x:v>
      </x:c>
      <x:c r="C99" s="10">
        <x:v>5602.0</x:v>
      </x:c>
      <x:c r="D99" s="9">
        <x:v>2.0</x:v>
      </x:c>
      <x:c r="N99" s="9">
        <x:v>154.0</x:v>
      </x:c>
      <x:c r="O99" s="9">
        <x:v>36.0</x:v>
      </x:c>
      <x:c r="P99" s="9">
        <x:v>186.0</x:v>
      </x:c>
      <x:c r="Q99" s="9">
        <x:v>52.0</x:v>
      </x:c>
      <x:c r="R99" s="9">
        <x:v>144.0</x:v>
      </x:c>
      <x:c r="S99" s="9">
        <x:v>97.0</x:v>
      </x:c>
      <x:c r="T99" s="9">
        <x:v>101.0</x:v>
      </x:c>
    </x:row>
    <x:row r="100">
      <x:c r="B100" s="8" t="s">
        <x:v>111</x:v>
      </x:c>
      <x:c r="C100" s="10">
        <x:v>4329.0</x:v>
      </x:c>
      <x:c r="D100" s="9">
        <x:v>12.0</x:v>
      </x:c>
      <x:c r="N100" s="9">
        <x:v>99.0</x:v>
      </x:c>
      <x:c r="O100" s="9">
        <x:v>148.0</x:v>
      </x:c>
      <x:c r="P100" s="9">
        <x:v>52.0</x:v>
      </x:c>
      <x:c r="Q100" s="9">
        <x:v>126.0</x:v>
      </x:c>
      <x:c r="R100" s="9">
        <x:v>78.0</x:v>
      </x:c>
      <x:c r="S100" s="9">
        <x:v>130.0</x:v>
      </x:c>
      <x:c r="T100" s="9">
        <x:v>35.0</x:v>
      </x:c>
    </x:row>
    <x:row r="101">
      <x:c r="B101" s="8" t="s">
        <x:v>112</x:v>
      </x:c>
      <x:c r="C101" s="10">
        <x:v>7135.0</x:v>
      </x:c>
      <x:c r="D101" s="9">
        <x:v>9.0</x:v>
      </x:c>
      <x:c r="N101" s="9">
        <x:v>186.0</x:v>
      </x:c>
      <x:c r="O101" s="9">
        <x:v>86.0</x:v>
      </x:c>
      <x:c r="P101" s="9">
        <x:v>100.0</x:v>
      </x:c>
      <x:c r="Q101" s="9">
        <x:v>63.0</x:v>
      </x:c>
      <x:c r="R101" s="9">
        <x:v>0.0</x:v>
      </x:c>
      <x:c r="S101" s="9">
        <x:v>187.0</x:v>
      </x:c>
      <x:c r="T101" s="9">
        <x:v>132.0</x:v>
      </x:c>
    </x:row>
    <x:row r="102">
      <x:c r="B102" s="8" t="s">
        <x:v>113</x:v>
      </x:c>
      <x:c r="C102" s="10">
        <x:v>5760.0</x:v>
      </x:c>
      <x:c r="D102" s="9">
        <x:v>8.0</x:v>
      </x:c>
      <x:c r="N102" s="9">
        <x:v>48.0</x:v>
      </x:c>
      <x:c r="O102" s="9">
        <x:v>182.0</x:v>
      </x:c>
      <x:c r="P102" s="9">
        <x:v>171.0</x:v>
      </x:c>
      <x:c r="Q102" s="9">
        <x:v>135.0</x:v>
      </x:c>
      <x:c r="R102" s="9">
        <x:v>142.0</x:v>
      </x:c>
      <x:c r="S102" s="9">
        <x:v>70.0</x:v>
      </x:c>
      <x:c r="T102" s="9">
        <x:v>120.0</x:v>
      </x:c>
    </x:row>
    <x:row r="103">
      <x:c r="B103" s="8" t="s">
        <x:v>114</x:v>
      </x:c>
      <x:c r="C103" s="10">
        <x:v>2935.0</x:v>
      </x:c>
      <x:c r="D103" s="9">
        <x:v>10.0</x:v>
      </x:c>
      <x:c r="N103" s="9">
        <x:v>91.0</x:v>
      </x:c>
      <x:c r="O103" s="9">
        <x:v>196.0</x:v>
      </x:c>
      <x:c r="P103" s="9">
        <x:v>47.0</x:v>
      </x:c>
      <x:c r="Q103" s="9">
        <x:v>78.0</x:v>
      </x:c>
      <x:c r="R103" s="9">
        <x:v>65.0</x:v>
      </x:c>
      <x:c r="S103" s="9">
        <x:v>139.0</x:v>
      </x:c>
      <x:c r="T103" s="9">
        <x:v>135.0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5" max="5" width="14.630000114440918" customWidth="1"/>
    <x:col min="6" max="6" width="14.75" customWidth="1"/>
    <x:col min="7" max="7" width="16.75" customWidth="1"/>
  </x:cols>
  <x:sheetData>
    <x:row r="2">
      <x:c r="D2" s="2" t="s">
        <x:v>115</x:v>
      </x:c>
      <x:c r="F2" s="2" t="s">
        <x:v>116</x:v>
      </x:c>
    </x:row>
    <x:row r="3">
      <x:c r="A3" s="2" t="s">
        <x:v>117</x:v>
      </x:c>
      <x:c r="B3" s="2" t="s">
        <x:v>118</x:v>
      </x:c>
      <x:c r="C3" s="2" t="s">
        <x:v>119</x:v>
      </x:c>
      <x:c r="D3" s="2" t="s">
        <x:v>120</x:v>
      </x:c>
      <x:c r="E3" s="2" t="s">
        <x:v>121</x:v>
      </x:c>
      <x:c r="F3" s="2" t="s">
        <x:v>120</x:v>
      </x:c>
      <x:c r="G3" s="2" t="s">
        <x:v>121</x:v>
      </x:c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A4" s="8" t="s">
        <x:v>15</x:v>
      </x:c>
      <x:c r="B4" s="8" t="s">
        <x:v>122</x:v>
      </x:c>
      <x:c r="C4" s="8" t="s">
        <x:v>123</x:v>
      </x:c>
      <x:c r="D4" s="10">
        <x:v>308.0</x:v>
      </x:c>
      <x:c r="E4" s="9">
        <x:v>5.0</x:v>
      </x:c>
      <x:c r="F4" s="10">
        <x:v>173.0</x:v>
      </x:c>
      <x:c r="G4" s="9">
        <x:v>27.0</x:v>
      </x:c>
    </x:row>
    <x:row r="5">
      <x:c r="A5" s="8" t="s">
        <x:v>15</x:v>
      </x:c>
      <x:c r="B5" s="8" t="s">
        <x:v>124</x:v>
      </x:c>
      <x:c r="C5" s="8" t="s">
        <x:v>123</x:v>
      </x:c>
      <x:c r="D5" s="10">
        <x:v>937.0</x:v>
      </x:c>
      <x:c r="E5" s="9">
        <x:v>3.0</x:v>
      </x:c>
      <x:c r="F5" s="10">
        <x:v>237.0</x:v>
      </x:c>
      <x:c r="G5" s="9">
        <x:v>40.0</x:v>
      </x:c>
    </x:row>
    <x:row r="6">
      <x:c r="A6" s="8" t="s">
        <x:v>15</x:v>
      </x:c>
      <x:c r="B6" s="8" t="s">
        <x:v>125</x:v>
      </x:c>
      <x:c r="C6" s="8" t="s">
        <x:v>123</x:v>
      </x:c>
      <x:c r="D6" s="10">
        <x:v>484.0</x:v>
      </x:c>
      <x:c r="E6" s="9">
        <x:v>4.0</x:v>
      </x:c>
      <x:c r="F6" s="10">
        <x:v>81.0</x:v>
      </x:c>
      <x:c r="G6" s="9">
        <x:v>25.0</x:v>
      </x:c>
    </x:row>
    <x:row r="7">
      <x:c r="A7" s="8" t="s">
        <x:v>15</x:v>
      </x:c>
      <x:c r="B7" s="8" t="s">
        <x:v>122</x:v>
      </x:c>
      <x:c r="C7" s="8" t="s">
        <x:v>126</x:v>
      </x:c>
      <x:c r="D7" s="10">
        <x:v>124.0</x:v>
      </x:c>
      <x:c r="E7" s="9">
        <x:v>6.0</x:v>
      </x:c>
      <x:c r="F7" s="10">
        <x:v>198.0</x:v>
      </x:c>
      <x:c r="G7" s="9">
        <x:v>38.0</x:v>
      </x:c>
    </x:row>
    <x:row r="8">
      <x:c r="A8" s="8" t="s">
        <x:v>15</x:v>
      </x:c>
      <x:c r="B8" s="8" t="s">
        <x:v>124</x:v>
      </x:c>
      <x:c r="C8" s="8" t="s">
        <x:v>126</x:v>
      </x:c>
      <x:c r="D8" s="10">
        <x:v>112.0</x:v>
      </x:c>
      <x:c r="E8" s="9">
        <x:v>6.0</x:v>
      </x:c>
      <x:c r="F8" s="10">
        <x:v>64.0</x:v>
      </x:c>
      <x:c r="G8" s="9">
        <x:v>20.0</x:v>
      </x:c>
    </x:row>
    <x:row r="9">
      <x:c r="A9" s="8" t="s">
        <x:v>15</x:v>
      </x:c>
      <x:c r="B9" s="8" t="s">
        <x:v>125</x:v>
      </x:c>
      <x:c r="C9" s="8" t="s">
        <x:v>126</x:v>
      </x:c>
      <x:c r="D9" s="10">
        <x:v>719.0</x:v>
      </x:c>
      <x:c r="E9" s="9">
        <x:v>2.0</x:v>
      </x:c>
      <x:c r="F9" s="10">
        <x:v>215.0</x:v>
      </x:c>
      <x:c r="G9" s="9">
        <x:v>35.0</x:v>
      </x:c>
    </x:row>
    <x:row r="10">
      <x:c r="A10" s="8" t="s">
        <x:v>15</x:v>
      </x:c>
      <x:c r="B10" s="8" t="s">
        <x:v>122</x:v>
      </x:c>
      <x:c r="C10" s="8" t="s">
        <x:v>127</x:v>
      </x:c>
      <x:c r="D10" s="10">
        <x:v>238.0</x:v>
      </x:c>
      <x:c r="E10" s="9">
        <x:v>14.0</x:v>
      </x:c>
      <x:c r="F10" s="10">
        <x:v>98.0</x:v>
      </x:c>
      <x:c r="G10" s="9">
        <x:v>20.0</x:v>
      </x:c>
    </x:row>
    <x:row r="11">
      <x:c r="A11" s="8" t="s">
        <x:v>15</x:v>
      </x:c>
      <x:c r="B11" s="8" t="s">
        <x:v>124</x:v>
      </x:c>
      <x:c r="C11" s="8" t="s">
        <x:v>127</x:v>
      </x:c>
      <x:c r="D11" s="10">
        <x:v>684.0</x:v>
      </x:c>
      <x:c r="E11" s="9">
        <x:v>2.0</x:v>
      </x:c>
      <x:c r="F11" s="10">
        <x:v>210.0</x:v>
      </x:c>
      <x:c r="G11" s="9">
        <x:v>26.0</x:v>
      </x:c>
    </x:row>
    <x:row r="12">
      <x:c r="A12" s="8" t="s">
        <x:v>15</x:v>
      </x:c>
      <x:c r="B12" s="8" t="s">
        <x:v>125</x:v>
      </x:c>
      <x:c r="C12" s="8" t="s">
        <x:v>127</x:v>
      </x:c>
      <x:c r="D12" s="10">
        <x:v>793.0</x:v>
      </x:c>
      <x:c r="E12" s="9">
        <x:v>10.0</x:v>
      </x:c>
      <x:c r="F12" s="10">
        <x:v>202.0</x:v>
      </x:c>
      <x:c r="G12" s="9">
        <x:v>40.0</x:v>
      </x:c>
    </x:row>
    <x:row r="13">
      <x:c r="A13" s="8" t="s">
        <x:v>15</x:v>
      </x:c>
      <x:c r="B13" s="8" t="s">
        <x:v>122</x:v>
      </x:c>
      <x:c r="C13" s="8" t="s">
        <x:v>128</x:v>
      </x:c>
      <x:c r="D13" s="10">
        <x:v>629.0</x:v>
      </x:c>
      <x:c r="E13" s="9">
        <x:v>12.0</x:v>
      </x:c>
      <x:c r="F13" s="10">
        <x:v>68.0</x:v>
      </x:c>
      <x:c r="G13" s="9">
        <x:v>24.0</x:v>
      </x:c>
    </x:row>
    <x:row r="14">
      <x:c r="A14" s="8" t="s">
        <x:v>15</x:v>
      </x:c>
      <x:c r="B14" s="8" t="s">
        <x:v>124</x:v>
      </x:c>
      <x:c r="C14" s="8" t="s">
        <x:v>128</x:v>
      </x:c>
      <x:c r="D14" s="10">
        <x:v>541.0</x:v>
      </x:c>
      <x:c r="E14" s="9">
        <x:v>13.0</x:v>
      </x:c>
      <x:c r="F14" s="10">
        <x:v>54.0</x:v>
      </x:c>
      <x:c r="G14" s="9">
        <x:v>24.0</x:v>
      </x:c>
    </x:row>
    <x:row r="15">
      <x:c r="A15" s="8" t="s">
        <x:v>15</x:v>
      </x:c>
      <x:c r="B15" s="8" t="s">
        <x:v>125</x:v>
      </x:c>
      <x:c r="C15" s="8" t="s">
        <x:v>128</x:v>
      </x:c>
      <x:c r="D15" s="10">
        <x:v>322.0</x:v>
      </x:c>
      <x:c r="E15" s="9">
        <x:v>14.0</x:v>
      </x:c>
      <x:c r="F15" s="10">
        <x:v>111.0</x:v>
      </x:c>
      <x:c r="G15" s="9">
        <x:v>40.0</x:v>
      </x:c>
    </x:row>
    <x:row r="16">
      <x:c r="A16" s="8" t="s">
        <x:v>15</x:v>
      </x:c>
      <x:c r="B16" s="8" t="s">
        <x:v>122</x:v>
      </x:c>
      <x:c r="C16" s="8" t="s">
        <x:v>129</x:v>
      </x:c>
      <x:c r="D16" s="10">
        <x:v>452.0</x:v>
      </x:c>
      <x:c r="E16" s="9">
        <x:v>12.0</x:v>
      </x:c>
      <x:c r="F16" s="10">
        <x:v>82.0</x:v>
      </x:c>
      <x:c r="G16" s="9">
        <x:v>31.0</x:v>
      </x:c>
    </x:row>
    <x:row r="17">
      <x:c r="A17" s="8" t="s">
        <x:v>15</x:v>
      </x:c>
      <x:c r="B17" s="8" t="s">
        <x:v>124</x:v>
      </x:c>
      <x:c r="C17" s="8" t="s">
        <x:v>129</x:v>
      </x:c>
      <x:c r="D17" s="10">
        <x:v>442.0</x:v>
      </x:c>
      <x:c r="E17" s="9">
        <x:v>2.0</x:v>
      </x:c>
      <x:c r="F17" s="10">
        <x:v>146.0</x:v>
      </x:c>
      <x:c r="G17" s="9">
        <x:v>34.0</x:v>
      </x:c>
    </x:row>
    <x:row r="18">
      <x:c r="A18" s="8" t="s">
        <x:v>15</x:v>
      </x:c>
      <x:c r="B18" s="8" t="s">
        <x:v>125</x:v>
      </x:c>
      <x:c r="C18" s="8" t="s">
        <x:v>129</x:v>
      </x:c>
      <x:c r="D18" s="10">
        <x:v>776.0</x:v>
      </x:c>
      <x:c r="E18" s="9">
        <x:v>14.0</x:v>
      </x:c>
      <x:c r="F18" s="10">
        <x:v>55.0</x:v>
      </x:c>
      <x:c r="G18" s="9">
        <x:v>32.0</x:v>
      </x:c>
    </x:row>
    <x:row r="19">
      <x:c r="A19" s="8" t="s">
        <x:v>15</x:v>
      </x:c>
      <x:c r="B19" s="8" t="s">
        <x:v>123</x:v>
      </x:c>
      <x:c r="C19" s="8" t="s">
        <x:v>127</x:v>
      </x:c>
      <x:c r="D19" s="10">
        <x:v>654.0</x:v>
      </x:c>
      <x:c r="E19" s="9">
        <x:v>6.0</x:v>
      </x:c>
      <x:c r="F19" s="10">
        <x:v>131.0</x:v>
      </x:c>
      <x:c r="G19" s="9">
        <x:v>22.0</x:v>
      </x:c>
    </x:row>
    <x:row r="20">
      <x:c r="A20" s="8" t="s">
        <x:v>15</x:v>
      </x:c>
      <x:c r="B20" s="8" t="s">
        <x:v>126</x:v>
      </x:c>
      <x:c r="C20" s="8" t="s">
        <x:v>127</x:v>
      </x:c>
      <x:c r="D20" s="10">
        <x:v>485.0</x:v>
      </x:c>
      <x:c r="E20" s="9">
        <x:v>10.0</x:v>
      </x:c>
      <x:c r="F20" s="10">
        <x:v>101.0</x:v>
      </x:c>
      <x:c r="G20" s="9">
        <x:v>25.0</x:v>
      </x:c>
    </x:row>
    <x:row r="21">
      <x:c r="A21" s="8" t="s">
        <x:v>15</x:v>
      </x:c>
      <x:c r="B21" s="8" t="s">
        <x:v>123</x:v>
      </x:c>
      <x:c r="C21" s="8" t="s">
        <x:v>128</x:v>
      </x:c>
      <x:c r="D21" s="10">
        <x:v>533.0</x:v>
      </x:c>
      <x:c r="E21" s="9">
        <x:v>4.0</x:v>
      </x:c>
      <x:c r="F21" s="10">
        <x:v>112.0</x:v>
      </x:c>
      <x:c r="G21" s="9">
        <x:v>28.0</x:v>
      </x:c>
    </x:row>
    <x:row r="22">
      <x:c r="A22" s="8" t="s">
        <x:v>15</x:v>
      </x:c>
      <x:c r="B22" s="8" t="s">
        <x:v>126</x:v>
      </x:c>
      <x:c r="C22" s="8" t="s">
        <x:v>128</x:v>
      </x:c>
      <x:c r="D22" s="10">
        <x:v>447.0</x:v>
      </x:c>
      <x:c r="E22" s="9">
        <x:v>1.0</x:v>
      </x:c>
      <x:c r="F22" s="10">
        <x:v>172.0</x:v>
      </x:c>
      <x:c r="G22" s="9">
        <x:v>40.0</x:v>
      </x:c>
    </x:row>
    <x:row r="23">
      <x:c r="A23" s="8" t="s">
        <x:v>15</x:v>
      </x:c>
      <x:c r="B23" s="8" t="s">
        <x:v>123</x:v>
      </x:c>
      <x:c r="C23" s="8" t="s">
        <x:v>129</x:v>
      </x:c>
      <x:c r="D23" s="10">
        <x:v>818.0</x:v>
      </x:c>
      <x:c r="E23" s="9">
        <x:v>3.0</x:v>
      </x:c>
      <x:c r="F23" s="10">
        <x:v>139.0</x:v>
      </x:c>
      <x:c r="G23" s="9">
        <x:v>21.0</x:v>
      </x:c>
    </x:row>
    <x:row r="24">
      <x:c r="A24" s="8" t="s">
        <x:v>15</x:v>
      </x:c>
      <x:c r="B24" s="8" t="s">
        <x:v>126</x:v>
      </x:c>
      <x:c r="C24" s="8" t="s">
        <x:v>129</x:v>
      </x:c>
      <x:c r="D24" s="10">
        <x:v>878.0</x:v>
      </x:c>
      <x:c r="E24" s="9">
        <x:v>5.0</x:v>
      </x:c>
      <x:c r="F24" s="10">
        <x:v>181.0</x:v>
      </x:c>
      <x:c r="G24" s="9">
        <x:v>40.0</x:v>
      </x:c>
    </x:row>
    <x:row r="25">
      <x:c r="A25" s="8" t="s">
        <x:v>16</x:v>
      </x:c>
      <x:c r="B25" s="8" t="s">
        <x:v>122</x:v>
      </x:c>
      <x:c r="C25" s="8" t="s">
        <x:v>123</x:v>
      </x:c>
      <x:c r="D25" s="10">
        <x:v>670.0</x:v>
      </x:c>
      <x:c r="E25" s="9">
        <x:v>4.0</x:v>
      </x:c>
      <x:c r="F25" s="10">
        <x:v>165.0</x:v>
      </x:c>
      <x:c r="G25" s="9">
        <x:v>30.0</x:v>
      </x:c>
    </x:row>
    <x:row r="26">
      <x:c r="A26" s="8" t="s">
        <x:v>16</x:v>
      </x:c>
      <x:c r="B26" s="8" t="s">
        <x:v>124</x:v>
      </x:c>
      <x:c r="C26" s="8" t="s">
        <x:v>123</x:v>
      </x:c>
      <x:c r="D26" s="10">
        <x:v>878.0</x:v>
      </x:c>
      <x:c r="E26" s="9">
        <x:v>12.0</x:v>
      </x:c>
      <x:c r="F26" s="10">
        <x:v>244.0</x:v>
      </x:c>
      <x:c r="G26" s="9">
        <x:v>38.0</x:v>
      </x:c>
    </x:row>
    <x:row r="27">
      <x:c r="A27" s="8" t="s">
        <x:v>16</x:v>
      </x:c>
      <x:c r="B27" s="8" t="s">
        <x:v>125</x:v>
      </x:c>
      <x:c r="C27" s="8" t="s">
        <x:v>123</x:v>
      </x:c>
      <x:c r="D27" s="10">
        <x:v>656.0</x:v>
      </x:c>
      <x:c r="E27" s="9">
        <x:v>11.0</x:v>
      </x:c>
      <x:c r="F27" s="10">
        <x:v>140.0</x:v>
      </x:c>
      <x:c r="G27" s="9">
        <x:v>33.0</x:v>
      </x:c>
    </x:row>
    <x:row r="28">
      <x:c r="A28" s="8" t="s">
        <x:v>16</x:v>
      </x:c>
      <x:c r="B28" s="8" t="s">
        <x:v>122</x:v>
      </x:c>
      <x:c r="C28" s="8" t="s">
        <x:v>126</x:v>
      </x:c>
      <x:c r="D28" s="10">
        <x:v>891.0</x:v>
      </x:c>
      <x:c r="E28" s="9">
        <x:v>4.0</x:v>
      </x:c>
      <x:c r="F28" s="10">
        <x:v>200.0</x:v>
      </x:c>
      <x:c r="G28" s="9">
        <x:v>38.0</x:v>
      </x:c>
    </x:row>
    <x:row r="29">
      <x:c r="A29" s="8" t="s">
        <x:v>16</x:v>
      </x:c>
      <x:c r="B29" s="8" t="s">
        <x:v>124</x:v>
      </x:c>
      <x:c r="C29" s="8" t="s">
        <x:v>126</x:v>
      </x:c>
      <x:c r="D29" s="10">
        <x:v>152.0</x:v>
      </x:c>
      <x:c r="E29" s="9">
        <x:v>10.0</x:v>
      </x:c>
      <x:c r="F29" s="10">
        <x:v>246.0</x:v>
      </x:c>
      <x:c r="G29" s="9">
        <x:v>22.0</x:v>
      </x:c>
    </x:row>
    <x:row r="30">
      <x:c r="A30" s="8" t="s">
        <x:v>16</x:v>
      </x:c>
      <x:c r="B30" s="8" t="s">
        <x:v>125</x:v>
      </x:c>
      <x:c r="C30" s="8" t="s">
        <x:v>126</x:v>
      </x:c>
      <x:c r="D30" s="10">
        <x:v>664.0</x:v>
      </x:c>
      <x:c r="E30" s="9">
        <x:v>13.0</x:v>
      </x:c>
      <x:c r="F30" s="10">
        <x:v>60.0</x:v>
      </x:c>
      <x:c r="G30" s="9">
        <x:v>29.0</x:v>
      </x:c>
    </x:row>
    <x:row r="31">
      <x:c r="A31" s="8" t="s">
        <x:v>16</x:v>
      </x:c>
      <x:c r="B31" s="8" t="s">
        <x:v>122</x:v>
      </x:c>
      <x:c r="C31" s="8" t="s">
        <x:v>127</x:v>
      </x:c>
      <x:c r="D31" s="10">
        <x:v>941.0</x:v>
      </x:c>
      <x:c r="E31" s="9">
        <x:v>1.0</x:v>
      </x:c>
      <x:c r="F31" s="10">
        <x:v>110.0</x:v>
      </x:c>
      <x:c r="G31" s="9">
        <x:v>27.0</x:v>
      </x:c>
    </x:row>
    <x:row r="32">
      <x:c r="A32" s="8" t="s">
        <x:v>16</x:v>
      </x:c>
      <x:c r="B32" s="8" t="s">
        <x:v>124</x:v>
      </x:c>
      <x:c r="C32" s="8" t="s">
        <x:v>127</x:v>
      </x:c>
      <x:c r="D32" s="10">
        <x:v>263.0</x:v>
      </x:c>
      <x:c r="E32" s="9">
        <x:v>4.0</x:v>
      </x:c>
      <x:c r="F32" s="10">
        <x:v>81.0</x:v>
      </x:c>
      <x:c r="G32" s="9">
        <x:v>21.0</x:v>
      </x:c>
    </x:row>
    <x:row r="33">
      <x:c r="A33" s="8" t="s">
        <x:v>16</x:v>
      </x:c>
      <x:c r="B33" s="8" t="s">
        <x:v>125</x:v>
      </x:c>
      <x:c r="C33" s="8" t="s">
        <x:v>127</x:v>
      </x:c>
      <x:c r="D33" s="10">
        <x:v>845.0</x:v>
      </x:c>
      <x:c r="E33" s="9">
        <x:v>6.0</x:v>
      </x:c>
      <x:c r="F33" s="10">
        <x:v>200.0</x:v>
      </x:c>
      <x:c r="G33" s="9">
        <x:v>30.0</x:v>
      </x:c>
    </x:row>
    <x:row r="34">
      <x:c r="A34" s="8" t="s">
        <x:v>16</x:v>
      </x:c>
      <x:c r="B34" s="8" t="s">
        <x:v>122</x:v>
      </x:c>
      <x:c r="C34" s="8" t="s">
        <x:v>128</x:v>
      </x:c>
      <x:c r="D34" s="10">
        <x:v>380.0</x:v>
      </x:c>
      <x:c r="E34" s="9">
        <x:v>13.0</x:v>
      </x:c>
      <x:c r="F34" s="10">
        <x:v>66.0</x:v>
      </x:c>
      <x:c r="G34" s="9">
        <x:v>26.0</x:v>
      </x:c>
    </x:row>
    <x:row r="35">
      <x:c r="A35" s="8" t="s">
        <x:v>16</x:v>
      </x:c>
      <x:c r="B35" s="8" t="s">
        <x:v>124</x:v>
      </x:c>
      <x:c r="C35" s="8" t="s">
        <x:v>128</x:v>
      </x:c>
      <x:c r="D35" s="10">
        <x:v>433.0</x:v>
      </x:c>
      <x:c r="E35" s="9">
        <x:v>1.0</x:v>
      </x:c>
      <x:c r="F35" s="10">
        <x:v>132.0</x:v>
      </x:c>
      <x:c r="G35" s="9">
        <x:v>34.0</x:v>
      </x:c>
    </x:row>
    <x:row r="36">
      <x:c r="A36" s="8" t="s">
        <x:v>16</x:v>
      </x:c>
      <x:c r="B36" s="8" t="s">
        <x:v>125</x:v>
      </x:c>
      <x:c r="C36" s="8" t="s">
        <x:v>128</x:v>
      </x:c>
      <x:c r="D36" s="10">
        <x:v>308.0</x:v>
      </x:c>
      <x:c r="E36" s="9">
        <x:v>1.0</x:v>
      </x:c>
      <x:c r="F36" s="10">
        <x:v>163.0</x:v>
      </x:c>
      <x:c r="G36" s="9">
        <x:v>30.0</x:v>
      </x:c>
    </x:row>
    <x:row r="37">
      <x:c r="A37" s="8" t="s">
        <x:v>16</x:v>
      </x:c>
      <x:c r="B37" s="8" t="s">
        <x:v>122</x:v>
      </x:c>
      <x:c r="C37" s="8" t="s">
        <x:v>129</x:v>
      </x:c>
      <x:c r="D37" s="10">
        <x:v>991.0</x:v>
      </x:c>
      <x:c r="E37" s="9">
        <x:v>11.0</x:v>
      </x:c>
      <x:c r="F37" s="10">
        <x:v>203.0</x:v>
      </x:c>
      <x:c r="G37" s="9">
        <x:v>26.0</x:v>
      </x:c>
    </x:row>
    <x:row r="38">
      <x:c r="A38" s="8" t="s">
        <x:v>16</x:v>
      </x:c>
      <x:c r="B38" s="8" t="s">
        <x:v>124</x:v>
      </x:c>
      <x:c r="C38" s="8" t="s">
        <x:v>129</x:v>
      </x:c>
      <x:c r="D38" s="10">
        <x:v>931.0</x:v>
      </x:c>
      <x:c r="E38" s="9">
        <x:v>5.0</x:v>
      </x:c>
      <x:c r="F38" s="10">
        <x:v>62.0</x:v>
      </x:c>
      <x:c r="G38" s="9">
        <x:v>22.0</x:v>
      </x:c>
    </x:row>
    <x:row r="39">
      <x:c r="A39" s="8" t="s">
        <x:v>16</x:v>
      </x:c>
      <x:c r="B39" s="8" t="s">
        <x:v>125</x:v>
      </x:c>
      <x:c r="C39" s="8" t="s">
        <x:v>129</x:v>
      </x:c>
      <x:c r="D39" s="10">
        <x:v>692.0</x:v>
      </x:c>
      <x:c r="E39" s="9">
        <x:v>2.0</x:v>
      </x:c>
      <x:c r="F39" s="10">
        <x:v>70.0</x:v>
      </x:c>
      <x:c r="G39" s="9">
        <x:v>31.0</x:v>
      </x:c>
    </x:row>
    <x:row r="40">
      <x:c r="A40" s="8" t="s">
        <x:v>16</x:v>
      </x:c>
      <x:c r="B40" s="8" t="s">
        <x:v>123</x:v>
      </x:c>
      <x:c r="C40" s="8" t="s">
        <x:v>127</x:v>
      </x:c>
      <x:c r="D40" s="10">
        <x:v>822.0</x:v>
      </x:c>
      <x:c r="E40" s="9">
        <x:v>4.0</x:v>
      </x:c>
      <x:c r="F40" s="10">
        <x:v>76.0</x:v>
      </x:c>
      <x:c r="G40" s="9">
        <x:v>26.0</x:v>
      </x:c>
    </x:row>
    <x:row r="41">
      <x:c r="A41" s="8" t="s">
        <x:v>16</x:v>
      </x:c>
      <x:c r="B41" s="8" t="s">
        <x:v>126</x:v>
      </x:c>
      <x:c r="C41" s="8" t="s">
        <x:v>127</x:v>
      </x:c>
      <x:c r="D41" s="10">
        <x:v>346.0</x:v>
      </x:c>
      <x:c r="E41" s="9">
        <x:v>2.0</x:v>
      </x:c>
      <x:c r="F41" s="10">
        <x:v>237.0</x:v>
      </x:c>
      <x:c r="G41" s="9">
        <x:v>32.0</x:v>
      </x:c>
    </x:row>
    <x:row r="42">
      <x:c r="A42" s="8" t="s">
        <x:v>16</x:v>
      </x:c>
      <x:c r="B42" s="8" t="s">
        <x:v>123</x:v>
      </x:c>
      <x:c r="C42" s="8" t="s">
        <x:v>128</x:v>
      </x:c>
      <x:c r="D42" s="10">
        <x:v>124.0</x:v>
      </x:c>
      <x:c r="E42" s="9">
        <x:v>2.0</x:v>
      </x:c>
      <x:c r="F42" s="10">
        <x:v>190.0</x:v>
      </x:c>
      <x:c r="G42" s="9">
        <x:v>39.0</x:v>
      </x:c>
    </x:row>
    <x:row r="43">
      <x:c r="A43" s="8" t="s">
        <x:v>16</x:v>
      </x:c>
      <x:c r="B43" s="8" t="s">
        <x:v>126</x:v>
      </x:c>
      <x:c r="C43" s="8" t="s">
        <x:v>128</x:v>
      </x:c>
      <x:c r="D43" s="10">
        <x:v>155.0</x:v>
      </x:c>
      <x:c r="E43" s="9">
        <x:v>8.0</x:v>
      </x:c>
      <x:c r="F43" s="10">
        <x:v>180.0</x:v>
      </x:c>
      <x:c r="G43" s="9">
        <x:v>25.0</x:v>
      </x:c>
    </x:row>
    <x:row r="44">
      <x:c r="A44" s="8" t="s">
        <x:v>16</x:v>
      </x:c>
      <x:c r="B44" s="8" t="s">
        <x:v>123</x:v>
      </x:c>
      <x:c r="C44" s="8" t="s">
        <x:v>129</x:v>
      </x:c>
      <x:c r="D44" s="10">
        <x:v>357.0</x:v>
      </x:c>
      <x:c r="E44" s="9">
        <x:v>12.0</x:v>
      </x:c>
      <x:c r="F44" s="10">
        <x:v>114.0</x:v>
      </x:c>
      <x:c r="G44" s="9">
        <x:v>28.0</x:v>
      </x:c>
    </x:row>
    <x:row r="45">
      <x:c r="A45" s="8" t="s">
        <x:v>16</x:v>
      </x:c>
      <x:c r="B45" s="8" t="s">
        <x:v>126</x:v>
      </x:c>
      <x:c r="C45" s="8" t="s">
        <x:v>129</x:v>
      </x:c>
      <x:c r="D45" s="10">
        <x:v>364.0</x:v>
      </x:c>
      <x:c r="E45" s="9">
        <x:v>4.0</x:v>
      </x:c>
      <x:c r="F45" s="10">
        <x:v>75.0</x:v>
      </x:c>
      <x:c r="G45" s="9">
        <x:v>26.0</x:v>
      </x:c>
    </x:row>
    <x:row r="46">
      <x:c r="A46" s="8" t="s">
        <x:v>17</x:v>
      </x:c>
      <x:c r="B46" s="8" t="s">
        <x:v>122</x:v>
      </x:c>
      <x:c r="C46" s="8" t="s">
        <x:v>123</x:v>
      </x:c>
      <x:c r="D46" s="10">
        <x:v>168.0</x:v>
      </x:c>
      <x:c r="E46" s="9">
        <x:v>9.0</x:v>
      </x:c>
      <x:c r="F46" s="10">
        <x:v>205.0</x:v>
      </x:c>
      <x:c r="G46" s="9">
        <x:v>21.0</x:v>
      </x:c>
    </x:row>
    <x:row r="47">
      <x:c r="A47" s="8" t="s">
        <x:v>17</x:v>
      </x:c>
      <x:c r="B47" s="8" t="s">
        <x:v>124</x:v>
      </x:c>
      <x:c r="C47" s="8" t="s">
        <x:v>123</x:v>
      </x:c>
      <x:c r="D47" s="10">
        <x:v>306.0</x:v>
      </x:c>
      <x:c r="E47" s="9">
        <x:v>14.0</x:v>
      </x:c>
      <x:c r="F47" s="10">
        <x:v>241.0</x:v>
      </x:c>
      <x:c r="G47" s="9">
        <x:v>21.0</x:v>
      </x:c>
    </x:row>
    <x:row r="48">
      <x:c r="A48" s="20" t="s">
        <x:v>17</x:v>
      </x:c>
      <x:c r="B48" s="8" t="s">
        <x:v>125</x:v>
      </x:c>
      <x:c r="C48" s="8" t="s">
        <x:v>123</x:v>
      </x:c>
      <x:c r="D48" s="10">
        <x:v>317.0</x:v>
      </x:c>
      <x:c r="E48" s="9">
        <x:v>8.0</x:v>
      </x:c>
      <x:c r="F48" s="42">
        <x:v>128.0</x:v>
      </x:c>
      <x:c r="G48" s="9">
        <x:v>29.0</x:v>
      </x:c>
    </x:row>
    <x:row r="49">
      <x:c r="A49" s="8" t="s">
        <x:v>17</x:v>
      </x:c>
      <x:c r="B49" s="8" t="s">
        <x:v>122</x:v>
      </x:c>
      <x:c r="C49" s="8" t="s">
        <x:v>126</x:v>
      </x:c>
      <x:c r="D49" s="10">
        <x:v>984.0</x:v>
      </x:c>
      <x:c r="E49" s="9">
        <x:v>9.0</x:v>
      </x:c>
      <x:c r="F49" s="10">
        <x:v>226.0</x:v>
      </x:c>
      <x:c r="G49" s="9">
        <x:v>40.0</x:v>
      </x:c>
    </x:row>
    <x:row r="50">
      <x:c r="A50" s="8" t="s">
        <x:v>17</x:v>
      </x:c>
      <x:c r="B50" s="8" t="s">
        <x:v>124</x:v>
      </x:c>
      <x:c r="C50" s="8" t="s">
        <x:v>126</x:v>
      </x:c>
      <x:c r="D50" s="10">
        <x:v>104.0</x:v>
      </x:c>
      <x:c r="E50" s="9">
        <x:v>12.0</x:v>
      </x:c>
      <x:c r="F50" s="10">
        <x:v>67.0</x:v>
      </x:c>
      <x:c r="G50" s="9">
        <x:v>34.0</x:v>
      </x:c>
    </x:row>
    <x:row r="51">
      <x:c r="A51" s="8" t="s">
        <x:v>17</x:v>
      </x:c>
      <x:c r="B51" s="8" t="s">
        <x:v>125</x:v>
      </x:c>
      <x:c r="C51" s="8" t="s">
        <x:v>126</x:v>
      </x:c>
      <x:c r="D51" s="10">
        <x:v>208.0</x:v>
      </x:c>
      <x:c r="E51" s="9">
        <x:v>1.0</x:v>
      </x:c>
      <x:c r="F51" s="10">
        <x:v>68.0</x:v>
      </x:c>
      <x:c r="G51" s="9">
        <x:v>38.0</x:v>
      </x:c>
    </x:row>
    <x:row r="52">
      <x:c r="A52" s="8" t="s">
        <x:v>17</x:v>
      </x:c>
      <x:c r="B52" s="8" t="s">
        <x:v>122</x:v>
      </x:c>
      <x:c r="C52" s="8" t="s">
        <x:v>127</x:v>
      </x:c>
      <x:c r="D52" s="10">
        <x:v>700.0</x:v>
      </x:c>
      <x:c r="E52" s="9">
        <x:v>7.0</x:v>
      </x:c>
      <x:c r="F52" s="10">
        <x:v>127.0</x:v>
      </x:c>
      <x:c r="G52" s="9">
        <x:v>28.0</x:v>
      </x:c>
    </x:row>
    <x:row r="53">
      <x:c r="A53" s="8" t="s">
        <x:v>17</x:v>
      </x:c>
      <x:c r="B53" s="8" t="s">
        <x:v>124</x:v>
      </x:c>
      <x:c r="C53" s="8" t="s">
        <x:v>127</x:v>
      </x:c>
      <x:c r="D53" s="10">
        <x:v>985.0</x:v>
      </x:c>
      <x:c r="E53" s="9">
        <x:v>5.0</x:v>
      </x:c>
      <x:c r="F53" s="10">
        <x:v>246.0</x:v>
      </x:c>
      <x:c r="G53" s="9">
        <x:v>29.0</x:v>
      </x:c>
    </x:row>
    <x:row r="54">
      <x:c r="A54" s="8" t="s">
        <x:v>17</x:v>
      </x:c>
      <x:c r="B54" s="8" t="s">
        <x:v>125</x:v>
      </x:c>
      <x:c r="C54" s="8" t="s">
        <x:v>127</x:v>
      </x:c>
      <x:c r="D54" s="10">
        <x:v>245.0</x:v>
      </x:c>
      <x:c r="E54" s="9">
        <x:v>13.0</x:v>
      </x:c>
      <x:c r="F54" s="10">
        <x:v>217.0</x:v>
      </x:c>
      <x:c r="G54" s="9">
        <x:v>35.0</x:v>
      </x:c>
    </x:row>
    <x:row r="55">
      <x:c r="A55" s="8" t="s">
        <x:v>17</x:v>
      </x:c>
      <x:c r="B55" s="8" t="s">
        <x:v>122</x:v>
      </x:c>
      <x:c r="C55" s="8" t="s">
        <x:v>128</x:v>
      </x:c>
      <x:c r="D55" s="10">
        <x:v>659.0</x:v>
      </x:c>
      <x:c r="E55" s="9">
        <x:v>11.0</x:v>
      </x:c>
      <x:c r="F55" s="10">
        <x:v>171.0</x:v>
      </x:c>
      <x:c r="G55" s="9">
        <x:v>27.0</x:v>
      </x:c>
    </x:row>
    <x:row r="56">
      <x:c r="A56" s="8" t="s">
        <x:v>17</x:v>
      </x:c>
      <x:c r="B56" s="8" t="s">
        <x:v>124</x:v>
      </x:c>
      <x:c r="C56" s="8" t="s">
        <x:v>128</x:v>
      </x:c>
      <x:c r="D56" s="10">
        <x:v>467.0</x:v>
      </x:c>
      <x:c r="E56" s="9">
        <x:v>12.0</x:v>
      </x:c>
      <x:c r="F56" s="10">
        <x:v>229.0</x:v>
      </x:c>
      <x:c r="G56" s="9">
        <x:v>33.0</x:v>
      </x:c>
    </x:row>
    <x:row r="57">
      <x:c r="A57" s="8" t="s">
        <x:v>17</x:v>
      </x:c>
      <x:c r="B57" s="8" t="s">
        <x:v>125</x:v>
      </x:c>
      <x:c r="C57" s="8" t="s">
        <x:v>128</x:v>
      </x:c>
      <x:c r="D57" s="10">
        <x:v>925.0</x:v>
      </x:c>
      <x:c r="E57" s="9">
        <x:v>9.0</x:v>
      </x:c>
      <x:c r="F57" s="10">
        <x:v>171.0</x:v>
      </x:c>
      <x:c r="G57" s="9">
        <x:v>41.0</x:v>
      </x:c>
    </x:row>
    <x:row r="58">
      <x:c r="A58" s="8" t="s">
        <x:v>17</x:v>
      </x:c>
      <x:c r="B58" s="8" t="s">
        <x:v>122</x:v>
      </x:c>
      <x:c r="C58" s="8" t="s">
        <x:v>129</x:v>
      </x:c>
      <x:c r="D58" s="10">
        <x:v>818.0</x:v>
      </x:c>
      <x:c r="E58" s="9">
        <x:v>5.0</x:v>
      </x:c>
      <x:c r="F58" s="10">
        <x:v>128.0</x:v>
      </x:c>
      <x:c r="G58" s="9">
        <x:v>41.0</x:v>
      </x:c>
    </x:row>
    <x:row r="59">
      <x:c r="A59" s="8" t="s">
        <x:v>17</x:v>
      </x:c>
      <x:c r="B59" s="8" t="s">
        <x:v>124</x:v>
      </x:c>
      <x:c r="C59" s="8" t="s">
        <x:v>129</x:v>
      </x:c>
      <x:c r="D59" s="10">
        <x:v>186.0</x:v>
      </x:c>
      <x:c r="E59" s="9">
        <x:v>7.0</x:v>
      </x:c>
      <x:c r="F59" s="10">
        <x:v>103.0</x:v>
      </x:c>
      <x:c r="G59" s="9">
        <x:v>39.0</x:v>
      </x:c>
    </x:row>
    <x:row r="60">
      <x:c r="A60" s="8" t="s">
        <x:v>17</x:v>
      </x:c>
      <x:c r="B60" s="8" t="s">
        <x:v>125</x:v>
      </x:c>
      <x:c r="C60" s="8" t="s">
        <x:v>129</x:v>
      </x:c>
      <x:c r="D60" s="10">
        <x:v>934.0</x:v>
      </x:c>
      <x:c r="E60" s="9">
        <x:v>13.0</x:v>
      </x:c>
      <x:c r="F60" s="10">
        <x:v>187.0</x:v>
      </x:c>
      <x:c r="G60" s="9">
        <x:v>34.0</x:v>
      </x:c>
    </x:row>
    <x:row r="61">
      <x:c r="A61" s="8" t="s">
        <x:v>17</x:v>
      </x:c>
      <x:c r="B61" s="8" t="s">
        <x:v>123</x:v>
      </x:c>
      <x:c r="C61" s="8" t="s">
        <x:v>127</x:v>
      </x:c>
      <x:c r="D61" s="10">
        <x:v>772.0</x:v>
      </x:c>
      <x:c r="E61" s="9">
        <x:v>1.0</x:v>
      </x:c>
      <x:c r="F61" s="10">
        <x:v>61.0</x:v>
      </x:c>
      <x:c r="G61" s="9">
        <x:v>36.0</x:v>
      </x:c>
    </x:row>
    <x:row r="62">
      <x:c r="A62" s="8" t="s">
        <x:v>17</x:v>
      </x:c>
      <x:c r="B62" s="8" t="s">
        <x:v>126</x:v>
      </x:c>
      <x:c r="C62" s="8" t="s">
        <x:v>127</x:v>
      </x:c>
      <x:c r="D62" s="10">
        <x:v>151.0</x:v>
      </x:c>
      <x:c r="E62" s="9">
        <x:v>12.0</x:v>
      </x:c>
      <x:c r="F62" s="10">
        <x:v>118.0</x:v>
      </x:c>
      <x:c r="G62" s="9">
        <x:v>23.0</x:v>
      </x:c>
    </x:row>
    <x:row r="63">
      <x:c r="A63" s="20" t="s">
        <x:v>17</x:v>
      </x:c>
      <x:c r="B63" s="8" t="s">
        <x:v>123</x:v>
      </x:c>
      <x:c r="C63" s="8" t="s">
        <x:v>128</x:v>
      </x:c>
      <x:c r="D63" s="42">
        <x:v>429.0</x:v>
      </x:c>
      <x:c r="E63" s="9">
        <x:v>14.0</x:v>
      </x:c>
      <x:c r="F63" s="10">
        <x:v>66.0</x:v>
      </x:c>
      <x:c r="G63" s="9">
        <x:v>25.0</x:v>
      </x:c>
    </x:row>
    <x:row r="64">
      <x:c r="A64" s="8" t="s">
        <x:v>17</x:v>
      </x:c>
      <x:c r="B64" s="8" t="s">
        <x:v>126</x:v>
      </x:c>
      <x:c r="C64" s="8" t="s">
        <x:v>128</x:v>
      </x:c>
      <x:c r="D64" s="10">
        <x:v>417.0</x:v>
      </x:c>
      <x:c r="E64" s="9">
        <x:v>6.0</x:v>
      </x:c>
      <x:c r="F64" s="10">
        <x:v>159.0</x:v>
      </x:c>
      <x:c r="G64" s="9">
        <x:v>23.0</x:v>
      </x:c>
    </x:row>
    <x:row r="65">
      <x:c r="A65" s="8" t="s">
        <x:v>17</x:v>
      </x:c>
      <x:c r="B65" s="8" t="s">
        <x:v>123</x:v>
      </x:c>
      <x:c r="C65" s="8" t="s">
        <x:v>129</x:v>
      </x:c>
      <x:c r="D65" s="10">
        <x:v>959.0</x:v>
      </x:c>
      <x:c r="E65" s="9">
        <x:v>2.0</x:v>
      </x:c>
      <x:c r="F65" s="10">
        <x:v>117.0</x:v>
      </x:c>
      <x:c r="G65" s="9">
        <x:v>38.0</x:v>
      </x:c>
    </x:row>
    <x:row r="66">
      <x:c r="A66" s="8" t="s">
        <x:v>17</x:v>
      </x:c>
      <x:c r="B66" s="8" t="s">
        <x:v>126</x:v>
      </x:c>
      <x:c r="C66" s="8" t="s">
        <x:v>129</x:v>
      </x:c>
      <x:c r="D66" s="10">
        <x:v>462.0</x:v>
      </x:c>
      <x:c r="E66" s="9">
        <x:v>2.0</x:v>
      </x:c>
      <x:c r="F66" s="10">
        <x:v>167.0</x:v>
      </x:c>
      <x:c r="G66" s="9">
        <x:v>23.0</x:v>
      </x:c>
    </x:row>
    <x:row r="67">
      <x:c r="A67" s="8" t="s">
        <x:v>18</x:v>
      </x:c>
      <x:c r="B67" s="8" t="s">
        <x:v>122</x:v>
      </x:c>
      <x:c r="C67" s="8" t="s">
        <x:v>123</x:v>
      </x:c>
      <x:c r="D67" s="10">
        <x:v>628.0</x:v>
      </x:c>
      <x:c r="E67" s="9">
        <x:v>1.0</x:v>
      </x:c>
      <x:c r="F67" s="10">
        <x:v>235.0</x:v>
      </x:c>
      <x:c r="G67" s="9">
        <x:v>22.0</x:v>
      </x:c>
    </x:row>
    <x:row r="68">
      <x:c r="A68" s="8" t="s">
        <x:v>18</x:v>
      </x:c>
      <x:c r="B68" s="8" t="s">
        <x:v>124</x:v>
      </x:c>
      <x:c r="C68" s="8" t="s">
        <x:v>123</x:v>
      </x:c>
      <x:c r="D68" s="10">
        <x:v>489.0</x:v>
      </x:c>
      <x:c r="E68" s="9">
        <x:v>5.0</x:v>
      </x:c>
      <x:c r="F68" s="10">
        <x:v>204.0</x:v>
      </x:c>
      <x:c r="G68" s="9">
        <x:v>20.0</x:v>
      </x:c>
    </x:row>
    <x:row r="69">
      <x:c r="A69" s="8" t="s">
        <x:v>18</x:v>
      </x:c>
      <x:c r="B69" s="8" t="s">
        <x:v>125</x:v>
      </x:c>
      <x:c r="C69" s="8" t="s">
        <x:v>123</x:v>
      </x:c>
      <x:c r="D69" s="10">
        <x:v>895.0</x:v>
      </x:c>
      <x:c r="E69" s="9">
        <x:v>5.0</x:v>
      </x:c>
      <x:c r="F69" s="10">
        <x:v>179.0</x:v>
      </x:c>
      <x:c r="G69" s="9">
        <x:v>22.0</x:v>
      </x:c>
    </x:row>
    <x:row r="70">
      <x:c r="A70" s="8" t="s">
        <x:v>18</x:v>
      </x:c>
      <x:c r="B70" s="8" t="s">
        <x:v>122</x:v>
      </x:c>
      <x:c r="C70" s="8" t="s">
        <x:v>126</x:v>
      </x:c>
      <x:c r="D70" s="10">
        <x:v>913.0</x:v>
      </x:c>
      <x:c r="E70" s="9">
        <x:v>10.0</x:v>
      </x:c>
      <x:c r="F70" s="10">
        <x:v>164.0</x:v>
      </x:c>
      <x:c r="G70" s="9">
        <x:v>27.0</x:v>
      </x:c>
    </x:row>
    <x:row r="71">
      <x:c r="A71" s="8" t="s">
        <x:v>18</x:v>
      </x:c>
      <x:c r="B71" s="8" t="s">
        <x:v>124</x:v>
      </x:c>
      <x:c r="C71" s="8" t="s">
        <x:v>126</x:v>
      </x:c>
      <x:c r="D71" s="10">
        <x:v>155.0</x:v>
      </x:c>
      <x:c r="E71" s="9">
        <x:v>9.0</x:v>
      </x:c>
      <x:c r="F71" s="10">
        <x:v>173.0</x:v>
      </x:c>
      <x:c r="G71" s="9">
        <x:v>22.0</x:v>
      </x:c>
    </x:row>
    <x:row r="72">
      <x:c r="A72" s="8" t="s">
        <x:v>18</x:v>
      </x:c>
      <x:c r="B72" s="8" t="s">
        <x:v>125</x:v>
      </x:c>
      <x:c r="C72" s="8" t="s">
        <x:v>126</x:v>
      </x:c>
      <x:c r="D72" s="10">
        <x:v>499.0</x:v>
      </x:c>
      <x:c r="E72" s="9">
        <x:v>14.0</x:v>
      </x:c>
      <x:c r="F72" s="10">
        <x:v>246.0</x:v>
      </x:c>
      <x:c r="G72" s="9">
        <x:v>27.0</x:v>
      </x:c>
    </x:row>
    <x:row r="73">
      <x:c r="A73" s="8" t="s">
        <x:v>18</x:v>
      </x:c>
      <x:c r="B73" s="8" t="s">
        <x:v>122</x:v>
      </x:c>
      <x:c r="C73" s="8" t="s">
        <x:v>127</x:v>
      </x:c>
      <x:c r="D73" s="10">
        <x:v>445.0</x:v>
      </x:c>
      <x:c r="E73" s="9">
        <x:v>10.0</x:v>
      </x:c>
      <x:c r="F73" s="10">
        <x:v>204.0</x:v>
      </x:c>
      <x:c r="G73" s="9">
        <x:v>25.0</x:v>
      </x:c>
    </x:row>
    <x:row r="74">
      <x:c r="A74" s="8" t="s">
        <x:v>18</x:v>
      </x:c>
      <x:c r="B74" s="8" t="s">
        <x:v>124</x:v>
      </x:c>
      <x:c r="C74" s="8" t="s">
        <x:v>127</x:v>
      </x:c>
      <x:c r="D74" s="10">
        <x:v>696.0</x:v>
      </x:c>
      <x:c r="E74" s="9">
        <x:v>7.0</x:v>
      </x:c>
      <x:c r="F74" s="10">
        <x:v>145.0</x:v>
      </x:c>
      <x:c r="G74" s="9">
        <x:v>22.0</x:v>
      </x:c>
    </x:row>
    <x:row r="75">
      <x:c r="A75" s="8" t="s">
        <x:v>18</x:v>
      </x:c>
      <x:c r="B75" s="8" t="s">
        <x:v>125</x:v>
      </x:c>
      <x:c r="C75" s="8" t="s">
        <x:v>127</x:v>
      </x:c>
      <x:c r="D75" s="10">
        <x:v>334.0</x:v>
      </x:c>
      <x:c r="E75" s="9">
        <x:v>3.0</x:v>
      </x:c>
      <x:c r="F75" s="10">
        <x:v>170.0</x:v>
      </x:c>
      <x:c r="G75" s="9">
        <x:v>21.0</x:v>
      </x:c>
    </x:row>
    <x:row r="76">
      <x:c r="A76" s="8" t="s">
        <x:v>18</x:v>
      </x:c>
      <x:c r="B76" s="8" t="s">
        <x:v>122</x:v>
      </x:c>
      <x:c r="C76" s="8" t="s">
        <x:v>128</x:v>
      </x:c>
      <x:c r="D76" s="10">
        <x:v>689.0</x:v>
      </x:c>
      <x:c r="E76" s="9">
        <x:v>7.0</x:v>
      </x:c>
      <x:c r="F76" s="10">
        <x:v>64.0</x:v>
      </x:c>
      <x:c r="G76" s="9">
        <x:v>37.0</x:v>
      </x:c>
    </x:row>
    <x:row r="77">
      <x:c r="A77" s="8" t="s">
        <x:v>18</x:v>
      </x:c>
      <x:c r="B77" s="8" t="s">
        <x:v>124</x:v>
      </x:c>
      <x:c r="C77" s="8" t="s">
        <x:v>128</x:v>
      </x:c>
      <x:c r="D77" s="10">
        <x:v>877.0</x:v>
      </x:c>
      <x:c r="E77" s="9">
        <x:v>8.0</x:v>
      </x:c>
      <x:c r="F77" s="10">
        <x:v>179.0</x:v>
      </x:c>
      <x:c r="G77" s="9">
        <x:v>40.0</x:v>
      </x:c>
    </x:row>
    <x:row r="78">
      <x:c r="A78" s="8" t="s">
        <x:v>18</x:v>
      </x:c>
      <x:c r="B78" s="8" t="s">
        <x:v>125</x:v>
      </x:c>
      <x:c r="C78" s="8" t="s">
        <x:v>128</x:v>
      </x:c>
      <x:c r="D78" s="10">
        <x:v>946.0</x:v>
      </x:c>
      <x:c r="E78" s="9">
        <x:v>3.0</x:v>
      </x:c>
      <x:c r="F78" s="10">
        <x:v>166.0</x:v>
      </x:c>
      <x:c r="G78" s="9">
        <x:v>34.0</x:v>
      </x:c>
    </x:row>
    <x:row r="79">
      <x:c r="A79" s="8" t="s">
        <x:v>18</x:v>
      </x:c>
      <x:c r="B79" s="8" t="s">
        <x:v>122</x:v>
      </x:c>
      <x:c r="C79" s="8" t="s">
        <x:v>129</x:v>
      </x:c>
      <x:c r="D79" s="10">
        <x:v>331.0</x:v>
      </x:c>
      <x:c r="E79" s="9">
        <x:v>14.0</x:v>
      </x:c>
      <x:c r="F79" s="10">
        <x:v>103.0</x:v>
      </x:c>
      <x:c r="G79" s="9">
        <x:v>33.0</x:v>
      </x:c>
    </x:row>
    <x:row r="80">
      <x:c r="A80" s="8" t="s">
        <x:v>18</x:v>
      </x:c>
      <x:c r="B80" s="8" t="s">
        <x:v>124</x:v>
      </x:c>
      <x:c r="C80" s="8" t="s">
        <x:v>129</x:v>
      </x:c>
      <x:c r="D80" s="10">
        <x:v>300.0</x:v>
      </x:c>
      <x:c r="E80" s="9">
        <x:v>1.0</x:v>
      </x:c>
      <x:c r="F80" s="10">
        <x:v>140.0</x:v>
      </x:c>
      <x:c r="G80" s="9">
        <x:v>28.0</x:v>
      </x:c>
    </x:row>
    <x:row r="81">
      <x:c r="A81" s="8" t="s">
        <x:v>18</x:v>
      </x:c>
      <x:c r="B81" s="8" t="s">
        <x:v>125</x:v>
      </x:c>
      <x:c r="C81" s="8" t="s">
        <x:v>129</x:v>
      </x:c>
      <x:c r="D81" s="10">
        <x:v>949.0</x:v>
      </x:c>
      <x:c r="E81" s="9">
        <x:v>2.0</x:v>
      </x:c>
      <x:c r="F81" s="10">
        <x:v>206.0</x:v>
      </x:c>
      <x:c r="G81" s="9">
        <x:v>28.0</x:v>
      </x:c>
    </x:row>
    <x:row r="82">
      <x:c r="A82" s="8" t="s">
        <x:v>18</x:v>
      </x:c>
      <x:c r="B82" s="8" t="s">
        <x:v>123</x:v>
      </x:c>
      <x:c r="C82" s="8" t="s">
        <x:v>127</x:v>
      </x:c>
      <x:c r="D82" s="10">
        <x:v>279.0</x:v>
      </x:c>
      <x:c r="E82" s="9">
        <x:v>5.0</x:v>
      </x:c>
      <x:c r="F82" s="10">
        <x:v>246.0</x:v>
      </x:c>
      <x:c r="G82" s="9">
        <x:v>30.0</x:v>
      </x:c>
    </x:row>
    <x:row r="83">
      <x:c r="A83" s="8" t="s">
        <x:v>18</x:v>
      </x:c>
      <x:c r="B83" s="8" t="s">
        <x:v>126</x:v>
      </x:c>
      <x:c r="C83" s="8" t="s">
        <x:v>127</x:v>
      </x:c>
      <x:c r="D83" s="10">
        <x:v>390.0</x:v>
      </x:c>
      <x:c r="E83" s="9">
        <x:v>3.0</x:v>
      </x:c>
      <x:c r="F83" s="10">
        <x:v>213.0</x:v>
      </x:c>
      <x:c r="G83" s="9">
        <x:v>41.0</x:v>
      </x:c>
    </x:row>
    <x:row r="84">
      <x:c r="A84" s="8" t="s">
        <x:v>18</x:v>
      </x:c>
      <x:c r="B84" s="8" t="s">
        <x:v>123</x:v>
      </x:c>
      <x:c r="C84" s="8" t="s">
        <x:v>128</x:v>
      </x:c>
      <x:c r="D84" s="10">
        <x:v>724.0</x:v>
      </x:c>
      <x:c r="E84" s="9">
        <x:v>12.0</x:v>
      </x:c>
      <x:c r="F84" s="10">
        <x:v>214.0</x:v>
      </x:c>
      <x:c r="G84" s="9">
        <x:v>22.0</x:v>
      </x:c>
    </x:row>
    <x:row r="85">
      <x:c r="A85" s="8" t="s">
        <x:v>18</x:v>
      </x:c>
      <x:c r="B85" s="8" t="s">
        <x:v>126</x:v>
      </x:c>
      <x:c r="C85" s="8" t="s">
        <x:v>128</x:v>
      </x:c>
      <x:c r="D85" s="10">
        <x:v>255.0</x:v>
      </x:c>
      <x:c r="E85" s="9">
        <x:v>4.0</x:v>
      </x:c>
      <x:c r="F85" s="10">
        <x:v>102.0</x:v>
      </x:c>
      <x:c r="G85" s="9">
        <x:v>22.0</x:v>
      </x:c>
    </x:row>
    <x:row r="86">
      <x:c r="A86" s="8" t="s">
        <x:v>18</x:v>
      </x:c>
      <x:c r="B86" s="8" t="s">
        <x:v>123</x:v>
      </x:c>
      <x:c r="C86" s="8" t="s">
        <x:v>129</x:v>
      </x:c>
      <x:c r="D86" s="10">
        <x:v>443.0</x:v>
      </x:c>
      <x:c r="E86" s="9">
        <x:v>3.0</x:v>
      </x:c>
      <x:c r="F86" s="10">
        <x:v>58.0</x:v>
      </x:c>
      <x:c r="G86" s="9">
        <x:v>23.0</x:v>
      </x:c>
    </x:row>
    <x:row r="87">
      <x:c r="A87" s="8" t="s">
        <x:v>18</x:v>
      </x:c>
      <x:c r="B87" s="8" t="s">
        <x:v>126</x:v>
      </x:c>
      <x:c r="C87" s="8" t="s">
        <x:v>129</x:v>
      </x:c>
      <x:c r="D87" s="10">
        <x:v>680.0</x:v>
      </x:c>
      <x:c r="E87" s="9">
        <x:v>9.0</x:v>
      </x:c>
      <x:c r="F87" s="10">
        <x:v>84.0</x:v>
      </x:c>
      <x:c r="G87" s="9">
        <x:v>29.0</x:v>
      </x:c>
    </x:row>
  </x:sheetData>
  <x:mergeCells>
    <x:mergeCell ref="D2:E2"/>
    <x:mergeCell ref="F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.75"/>
  <x:cols>
    <x:col min="2" max="2" width="23.1299991607666" customWidth="1"/>
  </x:cols>
  <x:sheetData>
    <x:row r="1">
      <x:c r="B1" s="3" t="s">
        <x:v>130</x:v>
      </x:c>
      <x:c r="C1" s="1">
        <x:v>84000.0</x:v>
      </x:c>
      <x:c r="D1" s="1" t="s">
        <x:v>131</x:v>
      </x:c>
    </x:row>
    <x:row r="2">
      <x:c r="B2" s="3" t="s">
        <x:v>132</x:v>
      </x:c>
      <x:c r="C2" s="1">
        <x:v>42.0</x:v>
      </x:c>
      <x:c r="D2" s="1" t="s">
        <x:v>131</x:v>
      </x:c>
    </x:row>
    <x:row r="3">
      <x:c r="B3" s="1" t="s">
        <x:v>133</x:v>
      </x:c>
      <x:c r="C3" s="4" t="n">
        <x:f>C1/C2</x:f>
        <x:v>2000</x:v>
      </x:c>
      <x:c r="D3" s="1" t="s">
        <x:v>134</x:v>
      </x:c>
    </x:row>
    <x:row r="5">
      <x:c r="A5" s="2" t="s">
        <x:v>117</x:v>
      </x:c>
      <x:c r="B5" s="2" t="s">
        <x:v>135</x:v>
      </x:c>
    </x:row>
    <x:row r="6">
      <x:c r="A6" s="8" t="s">
        <x:v>15</x:v>
      </x:c>
      <x:c r="B6" s="9">
        <x:v>9.0</x:v>
      </x:c>
    </x:row>
    <x:row r="7">
      <x:c r="A7" s="8" t="s">
        <x:v>16</x:v>
      </x:c>
      <x:c r="B7" s="9">
        <x:v>1.0</x:v>
      </x:c>
    </x:row>
    <x:row r="8">
      <x:c r="A8" s="8" t="s">
        <x:v>17</x:v>
      </x:c>
      <x:c r="B8" s="9">
        <x:v>4.0</x:v>
      </x:c>
    </x:row>
    <x:row r="9">
      <x:c r="A9" s="8" t="s">
        <x:v>18</x:v>
      </x:c>
      <x:c r="B9" s="9">
        <x:v>9.0</x:v>
      </x:c>
    </x:row>
    <x:row r="10">
      <x:c r="A10" s="8" t="s">
        <x:v>19</x:v>
      </x:c>
      <x:c r="B10" s="9">
        <x:v>2.0</x:v>
      </x:c>
    </x:row>
    <x:row r="11">
      <x:c r="A11" s="8" t="s">
        <x:v>20</x:v>
      </x:c>
      <x:c r="B11" s="9">
        <x:v>8.0</x:v>
      </x:c>
    </x:row>
    <x:row r="12">
      <x:c r="A12" s="8" t="s">
        <x:v>21</x:v>
      </x:c>
      <x:c r="B12" s="9">
        <x:v>5.0</x:v>
      </x:c>
    </x:row>
    <x:row r="13">
      <x:c r="A13" s="8" t="s">
        <x:v>22</x:v>
      </x:c>
      <x:c r="B13" s="9">
        <x:v>5.0</x:v>
      </x:c>
    </x:row>
    <x:row r="14">
      <x:c r="A14" s="8" t="s">
        <x:v>23</x:v>
      </x:c>
      <x:c r="B14" s="9">
        <x:v>12.0</x:v>
      </x:c>
    </x:row>
    <x:row r="15">
      <x:c r="A15" s="8" t="s">
        <x:v>24</x:v>
      </x:c>
      <x:c r="B15" s="9">
        <x:v>5.0</x:v>
      </x:c>
    </x:row>
    <x:row r="16">
      <x:c r="A16" s="8" t="s">
        <x:v>25</x:v>
      </x:c>
      <x:c r="B16" s="9">
        <x:v>11.0</x:v>
      </x:c>
    </x:row>
    <x:row r="17">
      <x:c r="A17" s="8" t="s">
        <x:v>26</x:v>
      </x:c>
      <x:c r="B17" s="9">
        <x:v>3.0</x:v>
      </x:c>
    </x:row>
    <x:row r="18">
      <x:c r="A18" s="8" t="s">
        <x:v>27</x:v>
      </x:c>
      <x:c r="B18" s="9">
        <x:v>5.0</x:v>
      </x:c>
    </x:row>
    <x:row r="19">
      <x:c r="A19" s="8" t="s">
        <x:v>28</x:v>
      </x:c>
      <x:c r="B19" s="9">
        <x:v>2.0</x:v>
      </x:c>
    </x:row>
    <x:row r="20">
      <x:c r="A20" s="8" t="s">
        <x:v>29</x:v>
      </x:c>
      <x:c r="B20" s="9">
        <x:v>8.0</x:v>
      </x:c>
    </x:row>
    <x:row r="21">
      <x:c r="A21" s="8" t="s">
        <x:v>30</x:v>
      </x:c>
      <x:c r="B21" s="9">
        <x:v>1.0</x:v>
      </x:c>
    </x:row>
    <x:row r="22">
      <x:c r="A22" s="8" t="s">
        <x:v>31</x:v>
      </x:c>
      <x:c r="B22" s="9">
        <x:v>3.0</x:v>
      </x:c>
    </x:row>
    <x:row r="23">
      <x:c r="A23" s="8" t="s">
        <x:v>32</x:v>
      </x:c>
      <x:c r="B23" s="9">
        <x:v>9.0</x:v>
      </x:c>
    </x:row>
    <x:row r="24">
      <x:c r="A24" s="8" t="s">
        <x:v>33</x:v>
      </x:c>
      <x:c r="B24" s="9">
        <x:v>11.0</x:v>
      </x:c>
    </x:row>
    <x:row r="25">
      <x:c r="A25" s="8" t="s">
        <x:v>34</x:v>
      </x:c>
      <x:c r="B25" s="9">
        <x:v>6.0</x:v>
      </x:c>
    </x:row>
    <x:row r="26">
      <x:c r="A26" s="8" t="s">
        <x:v>35</x:v>
      </x:c>
      <x:c r="B26" s="9">
        <x:v>1.0</x:v>
      </x:c>
    </x:row>
    <x:row r="27">
      <x:c r="A27" s="8" t="s">
        <x:v>36</x:v>
      </x:c>
      <x:c r="B27" s="9">
        <x:v>5.0</x:v>
      </x:c>
    </x:row>
    <x:row r="28">
      <x:c r="A28" s="8" t="s">
        <x:v>37</x:v>
      </x:c>
      <x:c r="B28" s="9">
        <x:v>5.0</x:v>
      </x:c>
    </x:row>
    <x:row r="29">
      <x:c r="A29" s="8" t="s">
        <x:v>38</x:v>
      </x:c>
      <x:c r="B29" s="9">
        <x:v>7.0</x:v>
      </x:c>
    </x:row>
    <x:row r="30">
      <x:c r="A30" s="8" t="s">
        <x:v>39</x:v>
      </x:c>
      <x:c r="B30" s="9">
        <x:v>12.0</x:v>
      </x:c>
    </x:row>
    <x:row r="31">
      <x:c r="A31" s="8" t="s">
        <x:v>40</x:v>
      </x:c>
      <x:c r="B31" s="9">
        <x:v>5.0</x:v>
      </x:c>
    </x:row>
    <x:row r="32">
      <x:c r="A32" s="8" t="s">
        <x:v>41</x:v>
      </x:c>
      <x:c r="B32" s="9">
        <x:v>4.0</x:v>
      </x:c>
    </x:row>
    <x:row r="33">
      <x:c r="A33" s="8" t="s">
        <x:v>42</x:v>
      </x:c>
      <x:c r="B33" s="9">
        <x:v>9.0</x:v>
      </x:c>
    </x:row>
    <x:row r="34">
      <x:c r="A34" s="8" t="s">
        <x:v>43</x:v>
      </x:c>
      <x:c r="B34" s="9">
        <x:v>7.0</x:v>
      </x:c>
    </x:row>
    <x:row r="35">
      <x:c r="A35" s="8" t="s">
        <x:v>44</x:v>
      </x:c>
      <x:c r="B35" s="9">
        <x:v>11.0</x:v>
      </x:c>
    </x:row>
    <x:row r="36">
      <x:c r="A36" s="8" t="s">
        <x:v>45</x:v>
      </x:c>
      <x:c r="B36" s="9">
        <x:v>12.0</x:v>
      </x:c>
    </x:row>
    <x:row r="37">
      <x:c r="A37" s="8" t="s">
        <x:v>46</x:v>
      </x:c>
      <x:c r="B37" s="9">
        <x:v>2.0</x:v>
      </x:c>
    </x:row>
    <x:row r="38">
      <x:c r="A38" s="8" t="s">
        <x:v>47</x:v>
      </x:c>
      <x:c r="B38" s="9">
        <x:v>2.0</x:v>
      </x:c>
    </x:row>
    <x:row r="39">
      <x:c r="A39" s="8" t="s">
        <x:v>48</x:v>
      </x:c>
      <x:c r="B39" s="9">
        <x:v>8.0</x:v>
      </x:c>
    </x:row>
    <x:row r="40">
      <x:c r="A40" s="8" t="s">
        <x:v>49</x:v>
      </x:c>
      <x:c r="B40" s="9">
        <x:v>9.0</x:v>
      </x:c>
    </x:row>
    <x:row r="41">
      <x:c r="A41" s="8" t="s">
        <x:v>50</x:v>
      </x:c>
      <x:c r="B41" s="9">
        <x:v>12.0</x:v>
      </x:c>
    </x:row>
    <x:row r="42">
      <x:c r="A42" s="8" t="s">
        <x:v>51</x:v>
      </x:c>
      <x:c r="B42" s="9">
        <x:v>9.0</x:v>
      </x:c>
    </x:row>
    <x:row r="43">
      <x:c r="A43" s="8" t="s">
        <x:v>52</x:v>
      </x:c>
      <x:c r="B43" s="9">
        <x:v>1.0</x:v>
      </x:c>
    </x:row>
    <x:row r="44">
      <x:c r="A44" s="8" t="s">
        <x:v>53</x:v>
      </x:c>
      <x:c r="B44" s="9">
        <x:v>6.0</x:v>
      </x:c>
    </x:row>
    <x:row r="45">
      <x:c r="A45" s="8" t="s">
        <x:v>54</x:v>
      </x:c>
      <x:c r="B45" s="9">
        <x:v>5.0</x:v>
      </x:c>
    </x:row>
    <x:row r="46">
      <x:c r="A46" s="8" t="s">
        <x:v>55</x:v>
      </x:c>
      <x:c r="B46" s="9">
        <x:v>1.0</x:v>
      </x:c>
    </x:row>
    <x:row r="47">
      <x:c r="A47" s="8" t="s">
        <x:v>56</x:v>
      </x:c>
      <x:c r="B47" s="9">
        <x:v>1.0</x:v>
      </x:c>
    </x:row>
    <x:row r="48">
      <x:c r="A48" s="8" t="s">
        <x:v>57</x:v>
      </x:c>
      <x:c r="B48" s="9">
        <x:v>4.0</x:v>
      </x:c>
    </x:row>
    <x:row r="49">
      <x:c r="A49" s="8" t="s">
        <x:v>58</x:v>
      </x:c>
      <x:c r="B49" s="9">
        <x:v>3.0</x:v>
      </x:c>
    </x:row>
    <x:row r="50">
      <x:c r="A50" s="8" t="s">
        <x:v>59</x:v>
      </x:c>
      <x:c r="B50" s="9">
        <x:v>7.0</x:v>
      </x:c>
    </x:row>
    <x:row r="51">
      <x:c r="A51" s="8" t="s">
        <x:v>60</x:v>
      </x:c>
      <x:c r="B51" s="9">
        <x:v>5.0</x:v>
      </x:c>
    </x:row>
    <x:row r="52">
      <x:c r="A52" s="8" t="s">
        <x:v>61</x:v>
      </x:c>
      <x:c r="B52" s="9">
        <x:v>9.0</x:v>
      </x:c>
    </x:row>
    <x:row r="53">
      <x:c r="A53" s="8" t="s">
        <x:v>62</x:v>
      </x:c>
      <x:c r="B53" s="9">
        <x:v>8.0</x:v>
      </x:c>
    </x:row>
    <x:row r="54">
      <x:c r="A54" s="8" t="s">
        <x:v>63</x:v>
      </x:c>
      <x:c r="B54" s="9">
        <x:v>9.0</x:v>
      </x:c>
    </x:row>
    <x:row r="55">
      <x:c r="A55" s="8" t="s">
        <x:v>64</x:v>
      </x:c>
      <x:c r="B55" s="9">
        <x:v>9.0</x:v>
      </x:c>
    </x:row>
    <x:row r="56">
      <x:c r="A56" s="8" t="s">
        <x:v>65</x:v>
      </x:c>
      <x:c r="B56" s="9">
        <x:v>8.0</x:v>
      </x:c>
    </x:row>
    <x:row r="57">
      <x:c r="A57" s="8" t="s">
        <x:v>66</x:v>
      </x:c>
      <x:c r="B57" s="9">
        <x:v>12.0</x:v>
      </x:c>
    </x:row>
    <x:row r="58">
      <x:c r="A58" s="8" t="s">
        <x:v>67</x:v>
      </x:c>
      <x:c r="B58" s="9">
        <x:v>8.0</x:v>
      </x:c>
    </x:row>
    <x:row r="59">
      <x:c r="A59" s="8" t="s">
        <x:v>68</x:v>
      </x:c>
      <x:c r="B59" s="9">
        <x:v>10.0</x:v>
      </x:c>
    </x:row>
    <x:row r="60">
      <x:c r="A60" s="8" t="s">
        <x:v>69</x:v>
      </x:c>
      <x:c r="B60" s="9">
        <x:v>5.0</x:v>
      </x:c>
    </x:row>
    <x:row r="61">
      <x:c r="A61" s="8" t="s">
        <x:v>70</x:v>
      </x:c>
      <x:c r="B61" s="9">
        <x:v>6.0</x:v>
      </x:c>
    </x:row>
    <x:row r="62">
      <x:c r="A62" s="8" t="s">
        <x:v>71</x:v>
      </x:c>
      <x:c r="B62" s="9">
        <x:v>6.0</x:v>
      </x:c>
    </x:row>
    <x:row r="63">
      <x:c r="A63" s="8" t="s">
        <x:v>72</x:v>
      </x:c>
      <x:c r="B63" s="9">
        <x:v>1.0</x:v>
      </x:c>
    </x:row>
    <x:row r="64">
      <x:c r="A64" s="8" t="s">
        <x:v>73</x:v>
      </x:c>
      <x:c r="B64" s="9">
        <x:v>2.0</x:v>
      </x:c>
    </x:row>
    <x:row r="65">
      <x:c r="A65" s="8" t="s">
        <x:v>74</x:v>
      </x:c>
      <x:c r="B65" s="9">
        <x:v>2.0</x:v>
      </x:c>
    </x:row>
    <x:row r="66">
      <x:c r="A66" s="8" t="s">
        <x:v>75</x:v>
      </x:c>
      <x:c r="B66" s="9">
        <x:v>7.0</x:v>
      </x:c>
    </x:row>
    <x:row r="67">
      <x:c r="A67" s="8" t="s">
        <x:v>76</x:v>
      </x:c>
      <x:c r="B67" s="9">
        <x:v>1.0</x:v>
      </x:c>
    </x:row>
    <x:row r="68">
      <x:c r="A68" s="8" t="s">
        <x:v>77</x:v>
      </x:c>
      <x:c r="B68" s="9">
        <x:v>7.0</x:v>
      </x:c>
    </x:row>
    <x:row r="69">
      <x:c r="A69" s="8" t="s">
        <x:v>78</x:v>
      </x:c>
      <x:c r="B69" s="9">
        <x:v>8.0</x:v>
      </x:c>
    </x:row>
    <x:row r="70">
      <x:c r="A70" s="8" t="s">
        <x:v>79</x:v>
      </x:c>
      <x:c r="B70" s="9">
        <x:v>11.0</x:v>
      </x:c>
    </x:row>
    <x:row r="71">
      <x:c r="A71" s="8" t="s">
        <x:v>80</x:v>
      </x:c>
      <x:c r="B71" s="9">
        <x:v>11.0</x:v>
      </x:c>
    </x:row>
    <x:row r="72">
      <x:c r="A72" s="8" t="s">
        <x:v>81</x:v>
      </x:c>
      <x:c r="B72" s="9">
        <x:v>12.0</x:v>
      </x:c>
    </x:row>
    <x:row r="73">
      <x:c r="A73" s="8" t="s">
        <x:v>82</x:v>
      </x:c>
      <x:c r="B73" s="9">
        <x:v>1.0</x:v>
      </x:c>
    </x:row>
    <x:row r="74">
      <x:c r="A74" s="8" t="s">
        <x:v>83</x:v>
      </x:c>
      <x:c r="B74" s="9">
        <x:v>4.0</x:v>
      </x:c>
    </x:row>
    <x:row r="75">
      <x:c r="A75" s="8" t="s">
        <x:v>84</x:v>
      </x:c>
      <x:c r="B75" s="9">
        <x:v>2.0</x:v>
      </x:c>
    </x:row>
    <x:row r="76">
      <x:c r="A76" s="8" t="s">
        <x:v>85</x:v>
      </x:c>
      <x:c r="B76" s="9">
        <x:v>3.0</x:v>
      </x:c>
    </x:row>
    <x:row r="77">
      <x:c r="A77" s="8" t="s">
        <x:v>86</x:v>
      </x:c>
      <x:c r="B77" s="9">
        <x:v>1.0</x:v>
      </x:c>
    </x:row>
    <x:row r="78">
      <x:c r="A78" s="8" t="s">
        <x:v>87</x:v>
      </x:c>
      <x:c r="B78" s="9">
        <x:v>4.0</x:v>
      </x:c>
    </x:row>
    <x:row r="79">
      <x:c r="A79" s="8" t="s">
        <x:v>88</x:v>
      </x:c>
      <x:c r="B79" s="9">
        <x:v>4.0</x:v>
      </x:c>
    </x:row>
    <x:row r="80">
      <x:c r="A80" s="8" t="s">
        <x:v>89</x:v>
      </x:c>
      <x:c r="B80" s="9">
        <x:v>2.0</x:v>
      </x:c>
    </x:row>
    <x:row r="81">
      <x:c r="A81" s="8" t="s">
        <x:v>90</x:v>
      </x:c>
      <x:c r="B81" s="9">
        <x:v>10.0</x:v>
      </x:c>
    </x:row>
    <x:row r="82">
      <x:c r="A82" s="8" t="s">
        <x:v>91</x:v>
      </x:c>
      <x:c r="B82" s="9">
        <x:v>6.0</x:v>
      </x:c>
    </x:row>
    <x:row r="83">
      <x:c r="A83" s="8" t="s">
        <x:v>92</x:v>
      </x:c>
      <x:c r="B83" s="9">
        <x:v>2.0</x:v>
      </x:c>
    </x:row>
    <x:row r="84">
      <x:c r="A84" s="8" t="s">
        <x:v>93</x:v>
      </x:c>
      <x:c r="B84" s="9">
        <x:v>4.0</x:v>
      </x:c>
    </x:row>
    <x:row r="85">
      <x:c r="A85" s="8" t="s">
        <x:v>94</x:v>
      </x:c>
      <x:c r="B85" s="9">
        <x:v>2.0</x:v>
      </x:c>
    </x:row>
    <x:row r="86">
      <x:c r="A86" s="8" t="s">
        <x:v>95</x:v>
      </x:c>
      <x:c r="B86" s="9">
        <x:v>1.0</x:v>
      </x:c>
    </x:row>
    <x:row r="87">
      <x:c r="A87" s="8" t="s">
        <x:v>96</x:v>
      </x:c>
      <x:c r="B87" s="9">
        <x:v>1.0</x:v>
      </x:c>
    </x:row>
    <x:row r="88">
      <x:c r="A88" s="8" t="s">
        <x:v>97</x:v>
      </x:c>
      <x:c r="B88" s="9">
        <x:v>9.0</x:v>
      </x:c>
    </x:row>
    <x:row r="89">
      <x:c r="A89" s="8" t="s">
        <x:v>98</x:v>
      </x:c>
      <x:c r="B89" s="9">
        <x:v>10.0</x:v>
      </x:c>
    </x:row>
    <x:row r="90">
      <x:c r="A90" s="8" t="s">
        <x:v>99</x:v>
      </x:c>
      <x:c r="B90" s="9">
        <x:v>8.0</x:v>
      </x:c>
    </x:row>
    <x:row r="91">
      <x:c r="A91" s="8" t="s">
        <x:v>100</x:v>
      </x:c>
      <x:c r="B91" s="9">
        <x:v>4.0</x:v>
      </x:c>
    </x:row>
    <x:row r="92">
      <x:c r="A92" s="8" t="s">
        <x:v>101</x:v>
      </x:c>
      <x:c r="B92" s="9">
        <x:v>2.0</x:v>
      </x:c>
    </x:row>
    <x:row r="93">
      <x:c r="A93" s="8" t="s">
        <x:v>102</x:v>
      </x:c>
      <x:c r="B93" s="9">
        <x:v>8.0</x:v>
      </x:c>
    </x:row>
    <x:row r="94">
      <x:c r="A94" s="8" t="s">
        <x:v>103</x:v>
      </x:c>
      <x:c r="B94" s="9">
        <x:v>7.0</x:v>
      </x:c>
    </x:row>
    <x:row r="95">
      <x:c r="A95" s="8" t="s">
        <x:v>104</x:v>
      </x:c>
      <x:c r="B95" s="9">
        <x:v>11.0</x:v>
      </x:c>
    </x:row>
    <x:row r="96">
      <x:c r="A96" s="8" t="s">
        <x:v>105</x:v>
      </x:c>
      <x:c r="B96" s="9">
        <x:v>4.0</x:v>
      </x:c>
    </x:row>
    <x:row r="97">
      <x:c r="A97" s="8" t="s">
        <x:v>106</x:v>
      </x:c>
      <x:c r="B97" s="9">
        <x:v>8.0</x:v>
      </x:c>
    </x:row>
    <x:row r="98">
      <x:c r="A98" s="8" t="s">
        <x:v>107</x:v>
      </x:c>
      <x:c r="B98" s="9">
        <x:v>3.0</x:v>
      </x:c>
    </x:row>
    <x:row r="99">
      <x:c r="A99" s="8" t="s">
        <x:v>108</x:v>
      </x:c>
      <x:c r="B99" s="9">
        <x:v>4.0</x:v>
      </x:c>
    </x:row>
    <x:row r="100">
      <x:c r="A100" s="8" t="s">
        <x:v>109</x:v>
      </x:c>
      <x:c r="B100" s="9">
        <x:v>5.0</x:v>
      </x:c>
    </x:row>
    <x:row r="101">
      <x:c r="A101" s="8" t="s">
        <x:v>110</x:v>
      </x:c>
      <x:c r="B101" s="9">
        <x:v>2.0</x:v>
      </x:c>
    </x:row>
    <x:row r="102">
      <x:c r="A102" s="8" t="s">
        <x:v>111</x:v>
      </x:c>
      <x:c r="B102" s="9">
        <x:v>12.0</x:v>
      </x:c>
    </x:row>
    <x:row r="103">
      <x:c r="A103" s="8" t="s">
        <x:v>112</x:v>
      </x:c>
      <x:c r="B103" s="9">
        <x:v>9.0</x:v>
      </x:c>
    </x:row>
    <x:row r="104">
      <x:c r="A104" s="8" t="s">
        <x:v>113</x:v>
      </x:c>
      <x:c r="B104" s="9">
        <x:v>8.0</x:v>
      </x:c>
    </x:row>
    <x:row r="105">
      <x:c r="A105" s="8" t="s">
        <x:v>114</x:v>
      </x:c>
      <x:c r="B105" s="9">
        <x:v>10.0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.75"/>
  <x:cols>
    <x:col min="1" max="1" width="72.62999725341797" customWidth="1"/>
  </x:cols>
  <x:sheetData>
    <x:row r="1" ht="30" customHeight="1">
      <x:c r="A1" s="45" t="s">
        <x:v>136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</x:row>
    <x:row r="2" ht="110" customHeight="1">
      <x:c r="A2" s="91" t="str">
        <x:v>At a 95% service level and a two-week lead time, the inventory plan requires 3,354 pallet positions, while the warehouse has only 2,000 available. Prosacco therefore faces a shortfall of 1,354 pallet positions (67.7% over capacity), so the full safety-stock plan will not fit in the current warehouse.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</x:row>
    <x:row r="3" ht="30" customHeight="1">
      <x:c r="A3" s="89" t="s">
        <x:v>137</x:v>
      </x:c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  <x:c r="Q3" s="46"/>
      <x:c r="R3" s="46"/>
      <x:c r="S3" s="46"/>
      <x:c r="T3" s="46"/>
      <x:c r="U3" s="46"/>
      <x:c r="V3" s="46"/>
    </x:row>
    <x:row r="4" ht="360" customHeight="1">
      <x:c r="A4" s="94" t="str">
        <x:v>Solution #1:
Lease overflow warehouse space or use a third-party logistics provider for the excess inventory.
Disadvantage of solution #1:
This adds recurring storage, handling, and transportation costs and gives Prosacco less direct control over inventory operations.
Solution #2:
Lower or differentiate service levels by SKU, keeping a 95% target only for high-priority items and using a lower target for others.
Disadvantage of solution #2:
Lower safety stock increases the risk of stockouts, delayed orders, lost sales, and reduced customer service for lower-priority items.
Solution #3:
Reduce the inventory footprint by phasing the rollout, clearing slow-moving or excess stock, and replenishing smaller quantities more frequently.
Disadvantage of solution #3:
This requires more planning and supplier coordination, may increase ordering or freight costs, and can leave some items less protected from demand spikes.</x:v>
      </x:c>
    </x:row>
    <x:row r="5" ht="30" customHeight="1">
      <x:c r="A5" s="52" t="s">
        <x:v>138</x:v>
      </x:c>
    </x:row>
    <x:row r="6" ht="85.5" customHeight="1">
      <x:c r="A6" s="53"/>
    </x:row>
    <x:row r="7">
      <x:c r="A7" s="53"/>
    </x:row>
    <x:row r="8">
      <x:c r="A8" s="53"/>
    </x:row>
    <x:row r="9">
      <x:c r="A9" s="53"/>
    </x:row>
    <x:row r="10">
      <x:c r="A10" s="53"/>
    </x:row>
    <x:row r="11">
      <x:c r="A11" s="53"/>
    </x:row>
    <x:row r="12">
      <x:c r="A12" s="53"/>
    </x:row>
    <x:row r="13">
      <x:c r="A13" s="53"/>
    </x:row>
    <x:row r="14">
      <x:c r="A14" s="53"/>
    </x:row>
    <x:row r="15">
      <x:c r="A15" s="53"/>
    </x:row>
    <x:row r="16">
      <x:c r="A16" s="53"/>
    </x:row>
    <x:row r="17">
      <x:c r="A17" s="53"/>
    </x:row>
    <x:row r="18">
      <x:c r="A18" s="53"/>
    </x:row>
    <x:row r="19">
      <x:c r="A19" s="53"/>
    </x:row>
    <x:row r="20">
      <x:c r="A20" s="53"/>
    </x:row>
    <x:row r="21">
      <x:c r="A21" s="53"/>
    </x:row>
    <x:row r="22">
      <x:c r="A22" s="53"/>
    </x:row>
    <x:row r="23">
      <x:c r="A23" s="53"/>
    </x:row>
    <x:row r="24">
      <x:c r="A24" s="53"/>
    </x:row>
    <x:row r="25">
      <x:c r="A25" s="53"/>
    </x:row>
    <x:row r="26">
      <x:c r="A26" s="53"/>
    </x:row>
    <x:row r="27">
      <x:c r="A27" s="53"/>
    </x:row>
    <x:row r="28">
      <x:c r="A28" s="53"/>
    </x:row>
    <x:row r="29">
      <x:c r="A29" s="53"/>
    </x:row>
    <x:row r="30">
      <x:c r="A30" s="53"/>
    </x:row>
    <x:row r="31">
      <x:c r="A31" s="53"/>
    </x:row>
    <x:row r="32">
      <x:c r="A32" s="53"/>
    </x:row>
    <x:row r="33">
      <x:c r="A33" s="53"/>
    </x:row>
    <x:row r="34">
      <x:c r="A34" s="53"/>
    </x:row>
    <x:row r="35">
      <x:c r="A35" s="53"/>
    </x:row>
    <x:row r="36">
      <x:c r="A36" s="53"/>
    </x:row>
    <x:row r="37">
      <x:c r="A37" s="53"/>
    </x:row>
    <x:row r="38">
      <x:c r="A38" s="53"/>
    </x:row>
    <x:row r="39">
      <x:c r="A39" s="53"/>
    </x:row>
    <x:row r="40">
      <x:c r="A40" s="53"/>
    </x:row>
    <x:row r="41">
      <x:c r="A41" s="53"/>
    </x:row>
    <x:row r="42">
      <x:c r="A42" s="53"/>
    </x:row>
    <x:row r="43">
      <x:c r="A43" s="53"/>
    </x:row>
    <x:row r="44">
      <x:c r="A44" s="53"/>
    </x:row>
    <x:row r="45">
      <x:c r="A45" s="53"/>
    </x:row>
    <x:row r="46">
      <x:c r="A46" s="53"/>
    </x:row>
    <x:row r="47">
      <x:c r="A47" s="53"/>
    </x:row>
    <x:row r="48">
      <x:c r="A48" s="53"/>
    </x:row>
    <x:row r="49">
      <x:c r="A49" s="53"/>
    </x:row>
    <x:row r="50">
      <x:c r="A50" s="53"/>
    </x:row>
    <x:row r="51">
      <x:c r="A51" s="53"/>
    </x:row>
    <x:row r="52">
      <x:c r="A52" s="53"/>
    </x:row>
    <x:row r="53">
      <x:c r="A53" s="53"/>
    </x:row>
    <x:row r="54">
      <x:c r="A54" s="53"/>
    </x:row>
    <x:row r="55">
      <x:c r="A55" s="53"/>
    </x:row>
    <x:row r="56">
      <x:c r="A56" s="53"/>
    </x:row>
    <x:row r="57">
      <x:c r="A57" s="53"/>
    </x:row>
    <x:row r="58">
      <x:c r="A58" s="53"/>
    </x:row>
    <x:row r="59">
      <x:c r="A59" s="53"/>
    </x:row>
    <x:row r="60">
      <x:c r="A60" s="53"/>
    </x:row>
    <x:row r="61">
      <x:c r="A61" s="53"/>
    </x:row>
    <x:row r="62">
      <x:c r="A62" s="53"/>
    </x:row>
    <x:row r="63">
      <x:c r="A63" s="53"/>
    </x:row>
    <x:row r="64">
      <x:c r="A64" s="53"/>
    </x:row>
    <x:row r="65">
      <x:c r="A65" s="53"/>
    </x:row>
    <x:row r="66">
      <x:c r="A66" s="53"/>
    </x:row>
    <x:row r="67">
      <x:c r="A67" s="53"/>
    </x:row>
    <x:row r="68">
      <x:c r="A68" s="53"/>
    </x:row>
    <x:row r="69">
      <x:c r="A69" s="53"/>
    </x:row>
    <x:row r="70">
      <x:c r="A70" s="53"/>
    </x:row>
    <x:row r="71">
      <x:c r="A71" s="53"/>
    </x:row>
    <x:row r="72">
      <x:c r="A72" s="53"/>
    </x:row>
    <x:row r="73">
      <x:c r="A73" s="53"/>
    </x:row>
    <x:row r="74">
      <x:c r="A74" s="53"/>
    </x:row>
    <x:row r="75">
      <x:c r="A75" s="53"/>
    </x:row>
    <x:row r="76">
      <x:c r="A76" s="53"/>
    </x:row>
    <x:row r="77">
      <x:c r="A77" s="53"/>
    </x:row>
    <x:row r="78">
      <x:c r="A78" s="53"/>
    </x:row>
    <x:row r="79">
      <x:c r="A79" s="53"/>
    </x:row>
    <x:row r="80">
      <x:c r="A80" s="53"/>
    </x:row>
    <x:row r="81">
      <x:c r="A81" s="53"/>
    </x:row>
    <x:row r="82">
      <x:c r="A82" s="53"/>
    </x:row>
    <x:row r="83">
      <x:c r="A83" s="53"/>
    </x:row>
    <x:row r="84">
      <x:c r="A84" s="53"/>
    </x:row>
    <x:row r="85">
      <x:c r="A85" s="53"/>
    </x:row>
    <x:row r="86">
      <x:c r="A86" s="53"/>
    </x:row>
    <x:row r="87">
      <x:c r="A87" s="53"/>
    </x:row>
    <x:row r="88">
      <x:c r="A88" s="53"/>
    </x:row>
    <x:row r="89">
      <x:c r="A89" s="53"/>
    </x:row>
    <x:row r="90">
      <x:c r="A90" s="53"/>
    </x:row>
    <x:row r="91">
      <x:c r="A91" s="53"/>
    </x:row>
    <x:row r="92">
      <x:c r="A92" s="53"/>
    </x:row>
    <x:row r="93">
      <x:c r="A93" s="53"/>
    </x:row>
    <x:row r="94">
      <x:c r="A94" s="53"/>
    </x:row>
    <x:row r="95">
      <x:c r="A95" s="53"/>
    </x:row>
    <x:row r="96">
      <x:c r="A96" s="53"/>
    </x:row>
    <x:row r="97">
      <x:c r="A97" s="53"/>
    </x:row>
    <x:row r="98">
      <x:c r="A98" s="53"/>
    </x:row>
    <x:row r="99">
      <x:c r="A99" s="53"/>
    </x:row>
    <x:row r="100">
      <x:c r="A100" s="53"/>
    </x:row>
    <x:row r="101">
      <x:c r="A101" s="53"/>
    </x:row>
    <x:row r="102">
      <x:c r="A102" s="53"/>
    </x:row>
    <x:row r="103">
      <x:c r="A103" s="53"/>
    </x:row>
    <x:row r="104">
      <x:c r="A104" s="53"/>
    </x:row>
    <x:row r="105">
      <x:c r="A105" s="53"/>
    </x:row>
    <x:row r="106">
      <x:c r="A106" s="53"/>
    </x:row>
    <x:row r="107">
      <x:c r="A107" s="53"/>
    </x:row>
    <x:row r="108">
      <x:c r="A108" s="53"/>
    </x:row>
    <x:row r="109">
      <x:c r="A109" s="53"/>
    </x:row>
    <x:row r="110">
      <x:c r="A110" s="53"/>
    </x:row>
    <x:row r="111">
      <x:c r="A111" s="53"/>
    </x:row>
    <x:row r="112">
      <x:c r="A112" s="53"/>
    </x:row>
    <x:row r="113">
      <x:c r="A113" s="53"/>
    </x:row>
    <x:row r="114">
      <x:c r="A114" s="53"/>
    </x:row>
    <x:row r="115">
      <x:c r="A115" s="53"/>
    </x:row>
    <x:row r="116">
      <x:c r="A116" s="53"/>
    </x:row>
    <x:row r="117">
      <x:c r="A117" s="53"/>
    </x:row>
    <x:row r="118">
      <x:c r="A118" s="53"/>
    </x:row>
    <x:row r="119">
      <x:c r="A119" s="53"/>
    </x:row>
    <x:row r="120">
      <x:c r="A120" s="53"/>
    </x:row>
    <x:row r="121">
      <x:c r="A121" s="53"/>
    </x:row>
    <x:row r="122">
      <x:c r="A122" s="53"/>
    </x:row>
    <x:row r="123">
      <x:c r="A123" s="53"/>
    </x:row>
    <x:row r="124">
      <x:c r="A124" s="53"/>
    </x:row>
    <x:row r="125">
      <x:c r="A125" s="53"/>
    </x:row>
    <x:row r="126">
      <x:c r="A126" s="53"/>
    </x:row>
    <x:row r="127">
      <x:c r="A127" s="53"/>
    </x:row>
    <x:row r="128">
      <x:c r="A128" s="53"/>
    </x:row>
    <x:row r="129">
      <x:c r="A129" s="53"/>
    </x:row>
    <x:row r="130">
      <x:c r="A130" s="53"/>
    </x:row>
    <x:row r="131">
      <x:c r="A131" s="53"/>
    </x:row>
    <x:row r="132">
      <x:c r="A132" s="53"/>
    </x:row>
    <x:row r="133">
      <x:c r="A133" s="53"/>
    </x:row>
    <x:row r="134">
      <x:c r="A134" s="53"/>
    </x:row>
    <x:row r="135">
      <x:c r="A135" s="53"/>
    </x:row>
    <x:row r="136">
      <x:c r="A136" s="53"/>
    </x:row>
    <x:row r="137">
      <x:c r="A137" s="53"/>
    </x:row>
    <x:row r="138">
      <x:c r="A138" s="53"/>
    </x:row>
    <x:row r="139">
      <x:c r="A139" s="53"/>
    </x:row>
    <x:row r="140">
      <x:c r="A140" s="53"/>
    </x:row>
    <x:row r="141">
      <x:c r="A141" s="53"/>
    </x:row>
    <x:row r="142">
      <x:c r="A142" s="53"/>
    </x:row>
    <x:row r="143">
      <x:c r="A143" s="53"/>
    </x:row>
    <x:row r="144">
      <x:c r="A144" s="53"/>
    </x:row>
    <x:row r="145">
      <x:c r="A145" s="53"/>
    </x:row>
    <x:row r="146">
      <x:c r="A146" s="53"/>
    </x:row>
    <x:row r="147">
      <x:c r="A147" s="53"/>
    </x:row>
    <x:row r="148">
      <x:c r="A148" s="53"/>
    </x:row>
    <x:row r="149">
      <x:c r="A149" s="53"/>
    </x:row>
    <x:row r="150">
      <x:c r="A150" s="53"/>
    </x:row>
    <x:row r="151">
      <x:c r="A151" s="53"/>
    </x:row>
    <x:row r="152">
      <x:c r="A152" s="53"/>
    </x:row>
    <x:row r="153">
      <x:c r="A153" s="53"/>
    </x:row>
    <x:row r="154">
      <x:c r="A154" s="53"/>
    </x:row>
    <x:row r="155">
      <x:c r="A155" s="53"/>
    </x:row>
    <x:row r="156">
      <x:c r="A156" s="53"/>
    </x:row>
    <x:row r="157">
      <x:c r="A157" s="53"/>
    </x:row>
    <x:row r="158">
      <x:c r="A158" s="53"/>
    </x:row>
    <x:row r="159">
      <x:c r="A159" s="53"/>
    </x:row>
    <x:row r="160">
      <x:c r="A160" s="53"/>
    </x:row>
    <x:row r="161">
      <x:c r="A161" s="53"/>
    </x:row>
    <x:row r="162">
      <x:c r="A162" s="53"/>
    </x:row>
    <x:row r="163">
      <x:c r="A163" s="53"/>
    </x:row>
    <x:row r="164">
      <x:c r="A164" s="53"/>
    </x:row>
    <x:row r="165">
      <x:c r="A165" s="53"/>
    </x:row>
    <x:row r="166">
      <x:c r="A166" s="53"/>
    </x:row>
    <x:row r="167">
      <x:c r="A167" s="53"/>
    </x:row>
    <x:row r="168">
      <x:c r="A168" s="53"/>
    </x:row>
    <x:row r="169">
      <x:c r="A169" s="53"/>
    </x:row>
    <x:row r="170">
      <x:c r="A170" s="53"/>
    </x:row>
    <x:row r="171">
      <x:c r="A171" s="53"/>
    </x:row>
    <x:row r="172">
      <x:c r="A172" s="53"/>
    </x:row>
    <x:row r="173">
      <x:c r="A173" s="53"/>
    </x:row>
    <x:row r="174">
      <x:c r="A174" s="53"/>
    </x:row>
    <x:row r="175">
      <x:c r="A175" s="53"/>
    </x:row>
    <x:row r="176">
      <x:c r="A176" s="53"/>
    </x:row>
    <x:row r="177">
      <x:c r="A177" s="53"/>
    </x:row>
    <x:row r="178">
      <x:c r="A178" s="53"/>
    </x:row>
    <x:row r="179">
      <x:c r="A179" s="53"/>
    </x:row>
    <x:row r="180">
      <x:c r="A180" s="53"/>
    </x:row>
    <x:row r="181">
      <x:c r="A181" s="53"/>
    </x:row>
    <x:row r="182">
      <x:c r="A182" s="53"/>
    </x:row>
    <x:row r="183">
      <x:c r="A183" s="53"/>
    </x:row>
    <x:row r="184">
      <x:c r="A184" s="53"/>
    </x:row>
    <x:row r="185">
      <x:c r="A185" s="53"/>
    </x:row>
    <x:row r="186">
      <x:c r="A186" s="53"/>
    </x:row>
    <x:row r="187">
      <x:c r="A187" s="53"/>
    </x:row>
    <x:row r="188">
      <x:c r="A188" s="53"/>
    </x:row>
    <x:row r="189">
      <x:c r="A189" s="53"/>
    </x:row>
    <x:row r="190">
      <x:c r="A190" s="53"/>
    </x:row>
    <x:row r="191">
      <x:c r="A191" s="53"/>
    </x:row>
    <x:row r="192">
      <x:c r="A192" s="53"/>
    </x:row>
    <x:row r="193">
      <x:c r="A193" s="53"/>
    </x:row>
    <x:row r="194">
      <x:c r="A194" s="53"/>
    </x:row>
    <x:row r="195">
      <x:c r="A195" s="53"/>
    </x:row>
    <x:row r="196">
      <x:c r="A196" s="53"/>
    </x:row>
    <x:row r="197">
      <x:c r="A197" s="53"/>
    </x:row>
    <x:row r="198">
      <x:c r="A198" s="53"/>
    </x:row>
    <x:row r="199">
      <x:c r="A199" s="53"/>
    </x:row>
    <x:row r="200">
      <x:c r="A200" s="53"/>
    </x:row>
    <x:row r="201">
      <x:c r="A201" s="53"/>
    </x:row>
    <x:row r="202">
      <x:c r="A202" s="53"/>
    </x:row>
    <x:row r="203">
      <x:c r="A203" s="53"/>
    </x:row>
    <x:row r="204">
      <x:c r="A204" s="53"/>
    </x:row>
    <x:row r="205">
      <x:c r="A205" s="53"/>
    </x:row>
    <x:row r="206">
      <x:c r="A206" s="53"/>
    </x:row>
    <x:row r="207">
      <x:c r="A207" s="53"/>
    </x:row>
    <x:row r="208">
      <x:c r="A208" s="53"/>
    </x:row>
    <x:row r="209">
      <x:c r="A209" s="53"/>
    </x:row>
    <x:row r="210">
      <x:c r="A210" s="53"/>
    </x:row>
    <x:row r="211">
      <x:c r="A211" s="53"/>
    </x:row>
    <x:row r="212">
      <x:c r="A212" s="53"/>
    </x:row>
    <x:row r="213">
      <x:c r="A213" s="53"/>
    </x:row>
    <x:row r="214">
      <x:c r="A214" s="53"/>
    </x:row>
    <x:row r="215">
      <x:c r="A215" s="53"/>
    </x:row>
    <x:row r="216">
      <x:c r="A216" s="53"/>
    </x:row>
    <x:row r="217">
      <x:c r="A217" s="53"/>
    </x:row>
    <x:row r="218">
      <x:c r="A218" s="53"/>
    </x:row>
    <x:row r="219">
      <x:c r="A219" s="53"/>
    </x:row>
    <x:row r="220">
      <x:c r="A220" s="53"/>
    </x:row>
    <x:row r="221">
      <x:c r="A221" s="53"/>
    </x:row>
    <x:row r="222">
      <x:c r="A222" s="53"/>
    </x:row>
    <x:row r="223">
      <x:c r="A223" s="53"/>
    </x:row>
    <x:row r="224">
      <x:c r="A224" s="53"/>
    </x:row>
    <x:row r="225">
      <x:c r="A225" s="53"/>
    </x:row>
    <x:row r="226">
      <x:c r="A226" s="53"/>
    </x:row>
    <x:row r="227">
      <x:c r="A227" s="53"/>
    </x:row>
    <x:row r="228">
      <x:c r="A228" s="53"/>
    </x:row>
    <x:row r="229">
      <x:c r="A229" s="53"/>
    </x:row>
    <x:row r="230">
      <x:c r="A230" s="53"/>
    </x:row>
    <x:row r="231">
      <x:c r="A231" s="53"/>
    </x:row>
    <x:row r="232">
      <x:c r="A232" s="53"/>
    </x:row>
    <x:row r="233">
      <x:c r="A233" s="53"/>
    </x:row>
    <x:row r="234">
      <x:c r="A234" s="53"/>
    </x:row>
    <x:row r="235">
      <x:c r="A235" s="53"/>
    </x:row>
    <x:row r="236">
      <x:c r="A236" s="53"/>
    </x:row>
    <x:row r="237">
      <x:c r="A237" s="53"/>
    </x:row>
    <x:row r="238">
      <x:c r="A238" s="53"/>
    </x:row>
    <x:row r="239">
      <x:c r="A239" s="53"/>
    </x:row>
    <x:row r="240">
      <x:c r="A240" s="53"/>
    </x:row>
    <x:row r="241">
      <x:c r="A241" s="53"/>
    </x:row>
    <x:row r="242">
      <x:c r="A242" s="53"/>
    </x:row>
    <x:row r="243">
      <x:c r="A243" s="53"/>
    </x:row>
    <x:row r="244">
      <x:c r="A244" s="53"/>
    </x:row>
    <x:row r="245">
      <x:c r="A245" s="53"/>
    </x:row>
    <x:row r="246">
      <x:c r="A246" s="53"/>
    </x:row>
    <x:row r="247">
      <x:c r="A247" s="53"/>
    </x:row>
    <x:row r="248">
      <x:c r="A248" s="53"/>
    </x:row>
    <x:row r="249">
      <x:c r="A249" s="53"/>
    </x:row>
    <x:row r="250">
      <x:c r="A250" s="53"/>
    </x:row>
    <x:row r="251">
      <x:c r="A251" s="53"/>
    </x:row>
    <x:row r="252">
      <x:c r="A252" s="53"/>
    </x:row>
    <x:row r="253">
      <x:c r="A253" s="53"/>
    </x:row>
    <x:row r="254">
      <x:c r="A254" s="53"/>
    </x:row>
    <x:row r="255">
      <x:c r="A255" s="53"/>
    </x:row>
    <x:row r="256">
      <x:c r="A256" s="53"/>
    </x:row>
    <x:row r="257">
      <x:c r="A257" s="53"/>
    </x:row>
    <x:row r="258">
      <x:c r="A258" s="53"/>
    </x:row>
    <x:row r="259">
      <x:c r="A259" s="53"/>
    </x:row>
    <x:row r="260">
      <x:c r="A260" s="53"/>
    </x:row>
    <x:row r="261">
      <x:c r="A261" s="53"/>
    </x:row>
    <x:row r="262">
      <x:c r="A262" s="53"/>
    </x:row>
    <x:row r="263">
      <x:c r="A263" s="53"/>
    </x:row>
    <x:row r="264">
      <x:c r="A264" s="53"/>
    </x:row>
    <x:row r="265">
      <x:c r="A265" s="53"/>
    </x:row>
    <x:row r="266">
      <x:c r="A266" s="53"/>
    </x:row>
    <x:row r="267">
      <x:c r="A267" s="53"/>
    </x:row>
    <x:row r="268">
      <x:c r="A268" s="53"/>
    </x:row>
    <x:row r="269">
      <x:c r="A269" s="53"/>
    </x:row>
    <x:row r="270">
      <x:c r="A270" s="53"/>
    </x:row>
    <x:row r="271">
      <x:c r="A271" s="53"/>
    </x:row>
    <x:row r="272">
      <x:c r="A272" s="53"/>
    </x:row>
    <x:row r="273">
      <x:c r="A273" s="53"/>
    </x:row>
    <x:row r="274">
      <x:c r="A274" s="53"/>
    </x:row>
    <x:row r="275">
      <x:c r="A275" s="53"/>
    </x:row>
    <x:row r="276">
      <x:c r="A276" s="53"/>
    </x:row>
    <x:row r="277">
      <x:c r="A277" s="53"/>
    </x:row>
    <x:row r="278">
      <x:c r="A278" s="53"/>
    </x:row>
    <x:row r="279">
      <x:c r="A279" s="53"/>
    </x:row>
    <x:row r="280">
      <x:c r="A280" s="53"/>
    </x:row>
    <x:row r="281">
      <x:c r="A281" s="53"/>
    </x:row>
    <x:row r="282">
      <x:c r="A282" s="53"/>
    </x:row>
    <x:row r="283">
      <x:c r="A283" s="53"/>
    </x:row>
    <x:row r="284">
      <x:c r="A284" s="53"/>
    </x:row>
    <x:row r="285">
      <x:c r="A285" s="53"/>
    </x:row>
    <x:row r="286">
      <x:c r="A286" s="53"/>
    </x:row>
    <x:row r="287">
      <x:c r="A287" s="53"/>
    </x:row>
    <x:row r="288">
      <x:c r="A288" s="53"/>
    </x:row>
    <x:row r="289">
      <x:c r="A289" s="53"/>
    </x:row>
    <x:row r="290">
      <x:c r="A290" s="53"/>
    </x:row>
    <x:row r="291">
      <x:c r="A291" s="53"/>
    </x:row>
    <x:row r="292">
      <x:c r="A292" s="53"/>
    </x:row>
    <x:row r="293">
      <x:c r="A293" s="53"/>
    </x:row>
    <x:row r="294">
      <x:c r="A294" s="53"/>
    </x:row>
    <x:row r="295">
      <x:c r="A295" s="53"/>
    </x:row>
    <x:row r="296">
      <x:c r="A296" s="53"/>
    </x:row>
    <x:row r="297">
      <x:c r="A297" s="53"/>
    </x:row>
    <x:row r="298">
      <x:c r="A298" s="53"/>
    </x:row>
    <x:row r="299">
      <x:c r="A299" s="53"/>
    </x:row>
    <x:row r="300">
      <x:c r="A300" s="53"/>
    </x:row>
    <x:row r="301">
      <x:c r="A301" s="53"/>
    </x:row>
    <x:row r="302">
      <x:c r="A302" s="53"/>
    </x:row>
    <x:row r="303">
      <x:c r="A303" s="53"/>
    </x:row>
    <x:row r="304">
      <x:c r="A304" s="53"/>
    </x:row>
    <x:row r="305">
      <x:c r="A305" s="53"/>
    </x:row>
    <x:row r="306">
      <x:c r="A306" s="53"/>
    </x:row>
    <x:row r="307">
      <x:c r="A307" s="53"/>
    </x:row>
    <x:row r="308">
      <x:c r="A308" s="53"/>
    </x:row>
    <x:row r="309">
      <x:c r="A309" s="53"/>
    </x:row>
    <x:row r="310">
      <x:c r="A310" s="53"/>
    </x:row>
    <x:row r="311">
      <x:c r="A311" s="53"/>
    </x:row>
    <x:row r="312">
      <x:c r="A312" s="53"/>
    </x:row>
    <x:row r="313">
      <x:c r="A313" s="53"/>
    </x:row>
    <x:row r="314">
      <x:c r="A314" s="53"/>
    </x:row>
    <x:row r="315">
      <x:c r="A315" s="53"/>
    </x:row>
    <x:row r="316">
      <x:c r="A316" s="53"/>
    </x:row>
    <x:row r="317">
      <x:c r="A317" s="53"/>
    </x:row>
    <x:row r="318">
      <x:c r="A318" s="53"/>
    </x:row>
    <x:row r="319">
      <x:c r="A319" s="53"/>
    </x:row>
    <x:row r="320">
      <x:c r="A320" s="53"/>
    </x:row>
    <x:row r="321">
      <x:c r="A321" s="53"/>
    </x:row>
    <x:row r="322">
      <x:c r="A322" s="53"/>
    </x:row>
    <x:row r="323">
      <x:c r="A323" s="53"/>
    </x:row>
    <x:row r="324">
      <x:c r="A324" s="53"/>
    </x:row>
    <x:row r="325">
      <x:c r="A325" s="53"/>
    </x:row>
    <x:row r="326">
      <x:c r="A326" s="53"/>
    </x:row>
    <x:row r="327">
      <x:c r="A327" s="53"/>
    </x:row>
    <x:row r="328">
      <x:c r="A328" s="53"/>
    </x:row>
    <x:row r="329">
      <x:c r="A329" s="53"/>
    </x:row>
    <x:row r="330">
      <x:c r="A330" s="53"/>
    </x:row>
    <x:row r="331">
      <x:c r="A331" s="53"/>
    </x:row>
    <x:row r="332">
      <x:c r="A332" s="53"/>
    </x:row>
    <x:row r="333">
      <x:c r="A333" s="53"/>
    </x:row>
    <x:row r="334">
      <x:c r="A334" s="53"/>
    </x:row>
    <x:row r="335">
      <x:c r="A335" s="53"/>
    </x:row>
    <x:row r="336">
      <x:c r="A336" s="53"/>
    </x:row>
    <x:row r="337">
      <x:c r="A337" s="53"/>
    </x:row>
    <x:row r="338">
      <x:c r="A338" s="53"/>
    </x:row>
    <x:row r="339">
      <x:c r="A339" s="53"/>
    </x:row>
    <x:row r="340">
      <x:c r="A340" s="53"/>
    </x:row>
    <x:row r="341">
      <x:c r="A341" s="53"/>
    </x:row>
    <x:row r="342">
      <x:c r="A342" s="53"/>
    </x:row>
    <x:row r="343">
      <x:c r="A343" s="53"/>
    </x:row>
    <x:row r="344">
      <x:c r="A344" s="53"/>
    </x:row>
    <x:row r="345">
      <x:c r="A345" s="53"/>
    </x:row>
    <x:row r="346">
      <x:c r="A346" s="53"/>
    </x:row>
    <x:row r="347">
      <x:c r="A347" s="53"/>
    </x:row>
    <x:row r="348">
      <x:c r="A348" s="53"/>
    </x:row>
    <x:row r="349">
      <x:c r="A349" s="53"/>
    </x:row>
    <x:row r="350">
      <x:c r="A350" s="53"/>
    </x:row>
    <x:row r="351">
      <x:c r="A351" s="53"/>
    </x:row>
    <x:row r="352">
      <x:c r="A352" s="53"/>
    </x:row>
    <x:row r="353">
      <x:c r="A353" s="53"/>
    </x:row>
    <x:row r="354">
      <x:c r="A354" s="53"/>
    </x:row>
    <x:row r="355">
      <x:c r="A355" s="53"/>
    </x:row>
    <x:row r="356">
      <x:c r="A356" s="53"/>
    </x:row>
    <x:row r="357">
      <x:c r="A357" s="53"/>
    </x:row>
    <x:row r="358">
      <x:c r="A358" s="53"/>
    </x:row>
    <x:row r="359">
      <x:c r="A359" s="53"/>
    </x:row>
    <x:row r="360">
      <x:c r="A360" s="53"/>
    </x:row>
    <x:row r="361">
      <x:c r="A361" s="53"/>
    </x:row>
    <x:row r="362">
      <x:c r="A362" s="53"/>
    </x:row>
    <x:row r="363">
      <x:c r="A363" s="53"/>
    </x:row>
    <x:row r="364">
      <x:c r="A364" s="53"/>
    </x:row>
    <x:row r="365">
      <x:c r="A365" s="53"/>
    </x:row>
    <x:row r="366">
      <x:c r="A366" s="53"/>
    </x:row>
    <x:row r="367">
      <x:c r="A367" s="53"/>
    </x:row>
    <x:row r="368">
      <x:c r="A368" s="53"/>
    </x:row>
    <x:row r="369">
      <x:c r="A369" s="53"/>
    </x:row>
    <x:row r="370">
      <x:c r="A370" s="53"/>
    </x:row>
    <x:row r="371">
      <x:c r="A371" s="53"/>
    </x:row>
    <x:row r="372">
      <x:c r="A372" s="53"/>
    </x:row>
    <x:row r="373">
      <x:c r="A373" s="53"/>
    </x:row>
    <x:row r="374">
      <x:c r="A374" s="53"/>
    </x:row>
    <x:row r="375">
      <x:c r="A375" s="53"/>
    </x:row>
    <x:row r="376">
      <x:c r="A376" s="53"/>
    </x:row>
    <x:row r="377">
      <x:c r="A377" s="53"/>
    </x:row>
    <x:row r="378">
      <x:c r="A378" s="53"/>
    </x:row>
    <x:row r="379">
      <x:c r="A379" s="53"/>
    </x:row>
    <x:row r="380">
      <x:c r="A380" s="53"/>
    </x:row>
    <x:row r="381">
      <x:c r="A381" s="53"/>
    </x:row>
    <x:row r="382">
      <x:c r="A382" s="53"/>
    </x:row>
    <x:row r="383">
      <x:c r="A383" s="53"/>
    </x:row>
    <x:row r="384">
      <x:c r="A384" s="53"/>
    </x:row>
    <x:row r="385">
      <x:c r="A385" s="53"/>
    </x:row>
    <x:row r="386">
      <x:c r="A386" s="53"/>
    </x:row>
    <x:row r="387">
      <x:c r="A387" s="53"/>
    </x:row>
    <x:row r="388">
      <x:c r="A388" s="53"/>
    </x:row>
    <x:row r="389">
      <x:c r="A389" s="53"/>
    </x:row>
    <x:row r="390">
      <x:c r="A390" s="53"/>
    </x:row>
    <x:row r="391">
      <x:c r="A391" s="53"/>
    </x:row>
    <x:row r="392">
      <x:c r="A392" s="53"/>
    </x:row>
    <x:row r="393">
      <x:c r="A393" s="53"/>
    </x:row>
    <x:row r="394">
      <x:c r="A394" s="53"/>
    </x:row>
    <x:row r="395">
      <x:c r="A395" s="53"/>
    </x:row>
    <x:row r="396">
      <x:c r="A396" s="53"/>
    </x:row>
    <x:row r="397">
      <x:c r="A397" s="53"/>
    </x:row>
    <x:row r="398">
      <x:c r="A398" s="53"/>
    </x:row>
    <x:row r="399">
      <x:c r="A399" s="53"/>
    </x:row>
    <x:row r="400">
      <x:c r="A400" s="53"/>
    </x:row>
    <x:row r="401">
      <x:c r="A401" s="53"/>
    </x:row>
    <x:row r="402">
      <x:c r="A402" s="53"/>
    </x:row>
    <x:row r="403">
      <x:c r="A403" s="53"/>
    </x:row>
    <x:row r="404">
      <x:c r="A404" s="53"/>
    </x:row>
    <x:row r="405">
      <x:c r="A405" s="53"/>
    </x:row>
    <x:row r="406">
      <x:c r="A406" s="53"/>
    </x:row>
    <x:row r="407">
      <x:c r="A407" s="53"/>
    </x:row>
    <x:row r="408">
      <x:c r="A408" s="53"/>
    </x:row>
    <x:row r="409">
      <x:c r="A409" s="53"/>
    </x:row>
    <x:row r="410">
      <x:c r="A410" s="53"/>
    </x:row>
    <x:row r="411">
      <x:c r="A411" s="53"/>
    </x:row>
    <x:row r="412">
      <x:c r="A412" s="53"/>
    </x:row>
    <x:row r="413">
      <x:c r="A413" s="53"/>
    </x:row>
    <x:row r="414">
      <x:c r="A414" s="53"/>
    </x:row>
    <x:row r="415">
      <x:c r="A415" s="53"/>
    </x:row>
    <x:row r="416">
      <x:c r="A416" s="53"/>
    </x:row>
    <x:row r="417">
      <x:c r="A417" s="53"/>
    </x:row>
    <x:row r="418">
      <x:c r="A418" s="53"/>
    </x:row>
    <x:row r="419">
      <x:c r="A419" s="53"/>
    </x:row>
    <x:row r="420">
      <x:c r="A420" s="53"/>
    </x:row>
    <x:row r="421">
      <x:c r="A421" s="53"/>
    </x:row>
    <x:row r="422">
      <x:c r="A422" s="53"/>
    </x:row>
    <x:row r="423">
      <x:c r="A423" s="53"/>
    </x:row>
    <x:row r="424">
      <x:c r="A424" s="53"/>
    </x:row>
    <x:row r="425">
      <x:c r="A425" s="53"/>
    </x:row>
    <x:row r="426">
      <x:c r="A426" s="53"/>
    </x:row>
    <x:row r="427">
      <x:c r="A427" s="53"/>
    </x:row>
    <x:row r="428">
      <x:c r="A428" s="53"/>
    </x:row>
    <x:row r="429">
      <x:c r="A429" s="53"/>
    </x:row>
    <x:row r="430">
      <x:c r="A430" s="53"/>
    </x:row>
    <x:row r="431">
      <x:c r="A431" s="53"/>
    </x:row>
    <x:row r="432">
      <x:c r="A432" s="53"/>
    </x:row>
    <x:row r="433">
      <x:c r="A433" s="53"/>
    </x:row>
    <x:row r="434">
      <x:c r="A434" s="53"/>
    </x:row>
    <x:row r="435">
      <x:c r="A435" s="53"/>
    </x:row>
    <x:row r="436">
      <x:c r="A436" s="53"/>
    </x:row>
    <x:row r="437">
      <x:c r="A437" s="53"/>
    </x:row>
    <x:row r="438">
      <x:c r="A438" s="53"/>
    </x:row>
    <x:row r="439">
      <x:c r="A439" s="53"/>
    </x:row>
    <x:row r="440">
      <x:c r="A440" s="53"/>
    </x:row>
    <x:row r="441">
      <x:c r="A441" s="53"/>
    </x:row>
    <x:row r="442">
      <x:c r="A442" s="53"/>
    </x:row>
    <x:row r="443">
      <x:c r="A443" s="53"/>
    </x:row>
    <x:row r="444">
      <x:c r="A444" s="53"/>
    </x:row>
    <x:row r="445">
      <x:c r="A445" s="53"/>
    </x:row>
    <x:row r="446">
      <x:c r="A446" s="53"/>
    </x:row>
    <x:row r="447">
      <x:c r="A447" s="53"/>
    </x:row>
    <x:row r="448">
      <x:c r="A448" s="53"/>
    </x:row>
    <x:row r="449">
      <x:c r="A449" s="53"/>
    </x:row>
    <x:row r="450">
      <x:c r="A450" s="53"/>
    </x:row>
    <x:row r="451">
      <x:c r="A451" s="53"/>
    </x:row>
    <x:row r="452">
      <x:c r="A452" s="53"/>
    </x:row>
    <x:row r="453">
      <x:c r="A453" s="53"/>
    </x:row>
    <x:row r="454">
      <x:c r="A454" s="53"/>
    </x:row>
    <x:row r="455">
      <x:c r="A455" s="53"/>
    </x:row>
    <x:row r="456">
      <x:c r="A456" s="53"/>
    </x:row>
    <x:row r="457">
      <x:c r="A457" s="53"/>
    </x:row>
    <x:row r="458">
      <x:c r="A458" s="53"/>
    </x:row>
    <x:row r="459">
      <x:c r="A459" s="53"/>
    </x:row>
    <x:row r="460">
      <x:c r="A460" s="53"/>
    </x:row>
    <x:row r="461">
      <x:c r="A461" s="53"/>
    </x:row>
    <x:row r="462">
      <x:c r="A462" s="53"/>
    </x:row>
    <x:row r="463">
      <x:c r="A463" s="53"/>
    </x:row>
    <x:row r="464">
      <x:c r="A464" s="53"/>
    </x:row>
    <x:row r="465">
      <x:c r="A465" s="53"/>
    </x:row>
    <x:row r="466">
      <x:c r="A466" s="53"/>
    </x:row>
    <x:row r="467">
      <x:c r="A467" s="53"/>
    </x:row>
    <x:row r="468">
      <x:c r="A468" s="53"/>
    </x:row>
    <x:row r="469">
      <x:c r="A469" s="53"/>
    </x:row>
    <x:row r="470">
      <x:c r="A470" s="53"/>
    </x:row>
    <x:row r="471">
      <x:c r="A471" s="53"/>
    </x:row>
    <x:row r="472">
      <x:c r="A472" s="53"/>
    </x:row>
    <x:row r="473">
      <x:c r="A473" s="53"/>
    </x:row>
    <x:row r="474">
      <x:c r="A474" s="53"/>
    </x:row>
    <x:row r="475">
      <x:c r="A475" s="53"/>
    </x:row>
    <x:row r="476">
      <x:c r="A476" s="53"/>
    </x:row>
    <x:row r="477">
      <x:c r="A477" s="53"/>
    </x:row>
    <x:row r="478">
      <x:c r="A478" s="53"/>
    </x:row>
    <x:row r="479">
      <x:c r="A479" s="53"/>
    </x:row>
    <x:row r="480">
      <x:c r="A480" s="53"/>
    </x:row>
    <x:row r="481">
      <x:c r="A481" s="53"/>
    </x:row>
    <x:row r="482">
      <x:c r="A482" s="53"/>
    </x:row>
    <x:row r="483">
      <x:c r="A483" s="53"/>
    </x:row>
    <x:row r="484">
      <x:c r="A484" s="53"/>
    </x:row>
    <x:row r="485">
      <x:c r="A485" s="53"/>
    </x:row>
    <x:row r="486">
      <x:c r="A486" s="53"/>
    </x:row>
    <x:row r="487">
      <x:c r="A487" s="53"/>
    </x:row>
    <x:row r="488">
      <x:c r="A488" s="53"/>
    </x:row>
    <x:row r="489">
      <x:c r="A489" s="53"/>
    </x:row>
    <x:row r="490">
      <x:c r="A490" s="53"/>
    </x:row>
    <x:row r="491">
      <x:c r="A491" s="53"/>
    </x:row>
    <x:row r="492">
      <x:c r="A492" s="53"/>
    </x:row>
    <x:row r="493">
      <x:c r="A493" s="53"/>
    </x:row>
    <x:row r="494">
      <x:c r="A494" s="53"/>
    </x:row>
    <x:row r="495">
      <x:c r="A495" s="53"/>
    </x:row>
    <x:row r="496">
      <x:c r="A496" s="53"/>
    </x:row>
    <x:row r="497">
      <x:c r="A497" s="53"/>
    </x:row>
    <x:row r="498">
      <x:c r="A498" s="53"/>
    </x:row>
    <x:row r="499">
      <x:c r="A499" s="53"/>
    </x:row>
    <x:row r="500">
      <x:c r="A500" s="53"/>
    </x:row>
    <x:row r="501">
      <x:c r="A501" s="53"/>
    </x:row>
    <x:row r="502">
      <x:c r="A502" s="53"/>
    </x:row>
    <x:row r="503">
      <x:c r="A503" s="53"/>
    </x:row>
    <x:row r="504">
      <x:c r="A504" s="53"/>
    </x:row>
    <x:row r="505">
      <x:c r="A505" s="53"/>
    </x:row>
    <x:row r="506">
      <x:c r="A506" s="53"/>
    </x:row>
    <x:row r="507">
      <x:c r="A507" s="53"/>
    </x:row>
    <x:row r="508">
      <x:c r="A508" s="53"/>
    </x:row>
    <x:row r="509">
      <x:c r="A509" s="53"/>
    </x:row>
    <x:row r="510">
      <x:c r="A510" s="53"/>
    </x:row>
    <x:row r="511">
      <x:c r="A511" s="53"/>
    </x:row>
    <x:row r="512">
      <x:c r="A512" s="53"/>
    </x:row>
    <x:row r="513">
      <x:c r="A513" s="53"/>
    </x:row>
    <x:row r="514">
      <x:c r="A514" s="53"/>
    </x:row>
    <x:row r="515">
      <x:c r="A515" s="53"/>
    </x:row>
    <x:row r="516">
      <x:c r="A516" s="53"/>
    </x:row>
    <x:row r="517">
      <x:c r="A517" s="53"/>
    </x:row>
    <x:row r="518">
      <x:c r="A518" s="53"/>
    </x:row>
    <x:row r="519">
      <x:c r="A519" s="53"/>
    </x:row>
    <x:row r="520">
      <x:c r="A520" s="53"/>
    </x:row>
    <x:row r="521">
      <x:c r="A521" s="53"/>
    </x:row>
    <x:row r="522">
      <x:c r="A522" s="53"/>
    </x:row>
    <x:row r="523">
      <x:c r="A523" s="53"/>
    </x:row>
    <x:row r="524">
      <x:c r="A524" s="53"/>
    </x:row>
    <x:row r="525">
      <x:c r="A525" s="53"/>
    </x:row>
    <x:row r="526">
      <x:c r="A526" s="53"/>
    </x:row>
    <x:row r="527">
      <x:c r="A527" s="53"/>
    </x:row>
    <x:row r="528">
      <x:c r="A528" s="53"/>
    </x:row>
    <x:row r="529">
      <x:c r="A529" s="53"/>
    </x:row>
    <x:row r="530">
      <x:c r="A530" s="53"/>
    </x:row>
    <x:row r="531">
      <x:c r="A531" s="53"/>
    </x:row>
    <x:row r="532">
      <x:c r="A532" s="53"/>
    </x:row>
    <x:row r="533">
      <x:c r="A533" s="53"/>
    </x:row>
    <x:row r="534">
      <x:c r="A534" s="53"/>
    </x:row>
    <x:row r="535">
      <x:c r="A535" s="53"/>
    </x:row>
    <x:row r="536">
      <x:c r="A536" s="53"/>
    </x:row>
    <x:row r="537">
      <x:c r="A537" s="53"/>
    </x:row>
    <x:row r="538">
      <x:c r="A538" s="53"/>
    </x:row>
    <x:row r="539">
      <x:c r="A539" s="53"/>
    </x:row>
    <x:row r="540">
      <x:c r="A540" s="53"/>
    </x:row>
    <x:row r="541">
      <x:c r="A541" s="53"/>
    </x:row>
    <x:row r="542">
      <x:c r="A542" s="53"/>
    </x:row>
    <x:row r="543">
      <x:c r="A543" s="53"/>
    </x:row>
    <x:row r="544">
      <x:c r="A544" s="53"/>
    </x:row>
    <x:row r="545">
      <x:c r="A545" s="53"/>
    </x:row>
    <x:row r="546">
      <x:c r="A546" s="53"/>
    </x:row>
    <x:row r="547">
      <x:c r="A547" s="53"/>
    </x:row>
    <x:row r="548">
      <x:c r="A548" s="53"/>
    </x:row>
    <x:row r="549">
      <x:c r="A549" s="53"/>
    </x:row>
    <x:row r="550">
      <x:c r="A550" s="53"/>
    </x:row>
    <x:row r="551">
      <x:c r="A551" s="53"/>
    </x:row>
    <x:row r="552">
      <x:c r="A552" s="53"/>
    </x:row>
    <x:row r="553">
      <x:c r="A553" s="53"/>
    </x:row>
    <x:row r="554">
      <x:c r="A554" s="53"/>
    </x:row>
    <x:row r="555">
      <x:c r="A555" s="53"/>
    </x:row>
    <x:row r="556">
      <x:c r="A556" s="53"/>
    </x:row>
    <x:row r="557">
      <x:c r="A557" s="53"/>
    </x:row>
    <x:row r="558">
      <x:c r="A558" s="53"/>
    </x:row>
    <x:row r="559">
      <x:c r="A559" s="53"/>
    </x:row>
    <x:row r="560">
      <x:c r="A560" s="53"/>
    </x:row>
    <x:row r="561">
      <x:c r="A561" s="53"/>
    </x:row>
    <x:row r="562">
      <x:c r="A562" s="53"/>
    </x:row>
    <x:row r="563">
      <x:c r="A563" s="53"/>
    </x:row>
    <x:row r="564">
      <x:c r="A564" s="53"/>
    </x:row>
    <x:row r="565">
      <x:c r="A565" s="53"/>
    </x:row>
    <x:row r="566">
      <x:c r="A566" s="53"/>
    </x:row>
    <x:row r="567">
      <x:c r="A567" s="53"/>
    </x:row>
    <x:row r="568">
      <x:c r="A568" s="53"/>
    </x:row>
    <x:row r="569">
      <x:c r="A569" s="53"/>
    </x:row>
    <x:row r="570">
      <x:c r="A570" s="53"/>
    </x:row>
    <x:row r="571">
      <x:c r="A571" s="53"/>
    </x:row>
    <x:row r="572">
      <x:c r="A572" s="53"/>
    </x:row>
    <x:row r="573">
      <x:c r="A573" s="53"/>
    </x:row>
    <x:row r="574">
      <x:c r="A574" s="53"/>
    </x:row>
    <x:row r="575">
      <x:c r="A575" s="53"/>
    </x:row>
    <x:row r="576">
      <x:c r="A576" s="53"/>
    </x:row>
    <x:row r="577">
      <x:c r="A577" s="53"/>
    </x:row>
    <x:row r="578">
      <x:c r="A578" s="53"/>
    </x:row>
    <x:row r="579">
      <x:c r="A579" s="53"/>
    </x:row>
    <x:row r="580">
      <x:c r="A580" s="53"/>
    </x:row>
    <x:row r="581">
      <x:c r="A581" s="53"/>
    </x:row>
    <x:row r="582">
      <x:c r="A582" s="53"/>
    </x:row>
    <x:row r="583">
      <x:c r="A583" s="53"/>
    </x:row>
    <x:row r="584">
      <x:c r="A584" s="53"/>
    </x:row>
    <x:row r="585">
      <x:c r="A585" s="53"/>
    </x:row>
    <x:row r="586">
      <x:c r="A586" s="53"/>
    </x:row>
    <x:row r="587">
      <x:c r="A587" s="53"/>
    </x:row>
    <x:row r="588">
      <x:c r="A588" s="53"/>
    </x:row>
    <x:row r="589">
      <x:c r="A589" s="53"/>
    </x:row>
    <x:row r="590">
      <x:c r="A590" s="53"/>
    </x:row>
    <x:row r="591">
      <x:c r="A591" s="53"/>
    </x:row>
    <x:row r="592">
      <x:c r="A592" s="53"/>
    </x:row>
    <x:row r="593">
      <x:c r="A593" s="53"/>
    </x:row>
    <x:row r="594">
      <x:c r="A594" s="53"/>
    </x:row>
    <x:row r="595">
      <x:c r="A595" s="53"/>
    </x:row>
    <x:row r="596">
      <x:c r="A596" s="53"/>
    </x:row>
    <x:row r="597">
      <x:c r="A597" s="53"/>
    </x:row>
    <x:row r="598">
      <x:c r="A598" s="53"/>
    </x:row>
    <x:row r="599">
      <x:c r="A599" s="53"/>
    </x:row>
    <x:row r="600">
      <x:c r="A600" s="53"/>
    </x:row>
    <x:row r="601">
      <x:c r="A601" s="53"/>
    </x:row>
    <x:row r="602">
      <x:c r="A602" s="53"/>
    </x:row>
    <x:row r="603">
      <x:c r="A603" s="53"/>
    </x:row>
    <x:row r="604">
      <x:c r="A604" s="53"/>
    </x:row>
    <x:row r="605">
      <x:c r="A605" s="53"/>
    </x:row>
    <x:row r="606">
      <x:c r="A606" s="53"/>
    </x:row>
    <x:row r="607">
      <x:c r="A607" s="53"/>
    </x:row>
    <x:row r="608">
      <x:c r="A608" s="53"/>
    </x:row>
    <x:row r="609">
      <x:c r="A609" s="53"/>
    </x:row>
    <x:row r="610">
      <x:c r="A610" s="53"/>
    </x:row>
    <x:row r="611">
      <x:c r="A611" s="53"/>
    </x:row>
    <x:row r="612">
      <x:c r="A612" s="53"/>
    </x:row>
    <x:row r="613">
      <x:c r="A613" s="53"/>
    </x:row>
    <x:row r="614">
      <x:c r="A614" s="53"/>
    </x:row>
    <x:row r="615">
      <x:c r="A615" s="53"/>
    </x:row>
    <x:row r="616">
      <x:c r="A616" s="53"/>
    </x:row>
    <x:row r="617">
      <x:c r="A617" s="53"/>
    </x:row>
    <x:row r="618">
      <x:c r="A618" s="53"/>
    </x:row>
    <x:row r="619">
      <x:c r="A619" s="53"/>
    </x:row>
    <x:row r="620">
      <x:c r="A620" s="53"/>
    </x:row>
    <x:row r="621">
      <x:c r="A621" s="53"/>
    </x:row>
    <x:row r="622">
      <x:c r="A622" s="53"/>
    </x:row>
    <x:row r="623">
      <x:c r="A623" s="53"/>
    </x:row>
    <x:row r="624">
      <x:c r="A624" s="53"/>
    </x:row>
    <x:row r="625">
      <x:c r="A625" s="53"/>
    </x:row>
    <x:row r="626">
      <x:c r="A626" s="53"/>
    </x:row>
    <x:row r="627">
      <x:c r="A627" s="53"/>
    </x:row>
    <x:row r="628">
      <x:c r="A628" s="53"/>
    </x:row>
    <x:row r="629">
      <x:c r="A629" s="53"/>
    </x:row>
    <x:row r="630">
      <x:c r="A630" s="53"/>
    </x:row>
    <x:row r="631">
      <x:c r="A631" s="53"/>
    </x:row>
    <x:row r="632">
      <x:c r="A632" s="53"/>
    </x:row>
    <x:row r="633">
      <x:c r="A633" s="53"/>
    </x:row>
    <x:row r="634">
      <x:c r="A634" s="53"/>
    </x:row>
    <x:row r="635">
      <x:c r="A635" s="53"/>
    </x:row>
    <x:row r="636">
      <x:c r="A636" s="53"/>
    </x:row>
    <x:row r="637">
      <x:c r="A637" s="53"/>
    </x:row>
    <x:row r="638">
      <x:c r="A638" s="53"/>
    </x:row>
    <x:row r="639">
      <x:c r="A639" s="53"/>
    </x:row>
    <x:row r="640">
      <x:c r="A640" s="53"/>
    </x:row>
    <x:row r="641">
      <x:c r="A641" s="53"/>
    </x:row>
    <x:row r="642">
      <x:c r="A642" s="53"/>
    </x:row>
    <x:row r="643">
      <x:c r="A643" s="53"/>
    </x:row>
    <x:row r="644">
      <x:c r="A644" s="53"/>
    </x:row>
    <x:row r="645">
      <x:c r="A645" s="53"/>
    </x:row>
    <x:row r="646">
      <x:c r="A646" s="53"/>
    </x:row>
    <x:row r="647">
      <x:c r="A647" s="53"/>
    </x:row>
    <x:row r="648">
      <x:c r="A648" s="53"/>
    </x:row>
    <x:row r="649">
      <x:c r="A649" s="53"/>
    </x:row>
    <x:row r="650">
      <x:c r="A650" s="53"/>
    </x:row>
    <x:row r="651">
      <x:c r="A651" s="53"/>
    </x:row>
    <x:row r="652">
      <x:c r="A652" s="53"/>
    </x:row>
    <x:row r="653">
      <x:c r="A653" s="53"/>
    </x:row>
    <x:row r="654">
      <x:c r="A654" s="53"/>
    </x:row>
    <x:row r="655">
      <x:c r="A655" s="53"/>
    </x:row>
    <x:row r="656">
      <x:c r="A656" s="53"/>
    </x:row>
    <x:row r="657">
      <x:c r="A657" s="53"/>
    </x:row>
    <x:row r="658">
      <x:c r="A658" s="53"/>
    </x:row>
    <x:row r="659">
      <x:c r="A659" s="53"/>
    </x:row>
    <x:row r="660">
      <x:c r="A660" s="53"/>
    </x:row>
    <x:row r="661">
      <x:c r="A661" s="53"/>
    </x:row>
    <x:row r="662">
      <x:c r="A662" s="53"/>
    </x:row>
    <x:row r="663">
      <x:c r="A663" s="53"/>
    </x:row>
    <x:row r="664">
      <x:c r="A664" s="53"/>
    </x:row>
    <x:row r="665">
      <x:c r="A665" s="53"/>
    </x:row>
    <x:row r="666">
      <x:c r="A666" s="53"/>
    </x:row>
    <x:row r="667">
      <x:c r="A667" s="53"/>
    </x:row>
    <x:row r="668">
      <x:c r="A668" s="53"/>
    </x:row>
    <x:row r="669">
      <x:c r="A669" s="53"/>
    </x:row>
    <x:row r="670">
      <x:c r="A670" s="53"/>
    </x:row>
    <x:row r="671">
      <x:c r="A671" s="53"/>
    </x:row>
    <x:row r="672">
      <x:c r="A672" s="53"/>
    </x:row>
    <x:row r="673">
      <x:c r="A673" s="53"/>
    </x:row>
    <x:row r="674">
      <x:c r="A674" s="53"/>
    </x:row>
    <x:row r="675">
      <x:c r="A675" s="53"/>
    </x:row>
    <x:row r="676">
      <x:c r="A676" s="53"/>
    </x:row>
    <x:row r="677">
      <x:c r="A677" s="53"/>
    </x:row>
    <x:row r="678">
      <x:c r="A678" s="53"/>
    </x:row>
    <x:row r="679">
      <x:c r="A679" s="53"/>
    </x:row>
    <x:row r="680">
      <x:c r="A680" s="53"/>
    </x:row>
    <x:row r="681">
      <x:c r="A681" s="53"/>
    </x:row>
    <x:row r="682">
      <x:c r="A682" s="53"/>
    </x:row>
    <x:row r="683">
      <x:c r="A683" s="53"/>
    </x:row>
    <x:row r="684">
      <x:c r="A684" s="53"/>
    </x:row>
    <x:row r="685">
      <x:c r="A685" s="53"/>
    </x:row>
    <x:row r="686">
      <x:c r="A686" s="53"/>
    </x:row>
    <x:row r="687">
      <x:c r="A687" s="53"/>
    </x:row>
    <x:row r="688">
      <x:c r="A688" s="53"/>
    </x:row>
    <x:row r="689">
      <x:c r="A689" s="53"/>
    </x:row>
    <x:row r="690">
      <x:c r="A690" s="53"/>
    </x:row>
    <x:row r="691">
      <x:c r="A691" s="53"/>
    </x:row>
    <x:row r="692">
      <x:c r="A692" s="53"/>
    </x:row>
    <x:row r="693">
      <x:c r="A693" s="53"/>
    </x:row>
    <x:row r="694">
      <x:c r="A694" s="53"/>
    </x:row>
    <x:row r="695">
      <x:c r="A695" s="53"/>
    </x:row>
    <x:row r="696">
      <x:c r="A696" s="53"/>
    </x:row>
    <x:row r="697">
      <x:c r="A697" s="53"/>
    </x:row>
    <x:row r="698">
      <x:c r="A698" s="53"/>
    </x:row>
    <x:row r="699">
      <x:c r="A699" s="53"/>
    </x:row>
    <x:row r="700">
      <x:c r="A700" s="53"/>
    </x:row>
    <x:row r="701">
      <x:c r="A701" s="53"/>
    </x:row>
    <x:row r="702">
      <x:c r="A702" s="53"/>
    </x:row>
    <x:row r="703">
      <x:c r="A703" s="53"/>
    </x:row>
    <x:row r="704">
      <x:c r="A704" s="53"/>
    </x:row>
    <x:row r="705">
      <x:c r="A705" s="53"/>
    </x:row>
    <x:row r="706">
      <x:c r="A706" s="53"/>
    </x:row>
    <x:row r="707">
      <x:c r="A707" s="53"/>
    </x:row>
    <x:row r="708">
      <x:c r="A708" s="53"/>
    </x:row>
    <x:row r="709">
      <x:c r="A709" s="53"/>
    </x:row>
    <x:row r="710">
      <x:c r="A710" s="53"/>
    </x:row>
    <x:row r="711">
      <x:c r="A711" s="53"/>
    </x:row>
    <x:row r="712">
      <x:c r="A712" s="53"/>
    </x:row>
    <x:row r="713">
      <x:c r="A713" s="53"/>
    </x:row>
    <x:row r="714">
      <x:c r="A714" s="53"/>
    </x:row>
    <x:row r="715">
      <x:c r="A715" s="53"/>
    </x:row>
    <x:row r="716">
      <x:c r="A716" s="53"/>
    </x:row>
    <x:row r="717">
      <x:c r="A717" s="53"/>
    </x:row>
    <x:row r="718">
      <x:c r="A718" s="53"/>
    </x:row>
    <x:row r="719">
      <x:c r="A719" s="53"/>
    </x:row>
    <x:row r="720">
      <x:c r="A720" s="53"/>
    </x:row>
    <x:row r="721">
      <x:c r="A721" s="53"/>
    </x:row>
    <x:row r="722">
      <x:c r="A722" s="53"/>
    </x:row>
    <x:row r="723">
      <x:c r="A723" s="53"/>
    </x:row>
    <x:row r="724">
      <x:c r="A724" s="53"/>
    </x:row>
    <x:row r="725">
      <x:c r="A725" s="53"/>
    </x:row>
    <x:row r="726">
      <x:c r="A726" s="53"/>
    </x:row>
    <x:row r="727">
      <x:c r="A727" s="53"/>
    </x:row>
    <x:row r="728">
      <x:c r="A728" s="53"/>
    </x:row>
    <x:row r="729">
      <x:c r="A729" s="53"/>
    </x:row>
    <x:row r="730">
      <x:c r="A730" s="53"/>
    </x:row>
    <x:row r="731">
      <x:c r="A731" s="53"/>
    </x:row>
    <x:row r="732">
      <x:c r="A732" s="53"/>
    </x:row>
    <x:row r="733">
      <x:c r="A733" s="53"/>
    </x:row>
    <x:row r="734">
      <x:c r="A734" s="53"/>
    </x:row>
    <x:row r="735">
      <x:c r="A735" s="53"/>
    </x:row>
    <x:row r="736">
      <x:c r="A736" s="53"/>
    </x:row>
    <x:row r="737">
      <x:c r="A737" s="53"/>
    </x:row>
    <x:row r="738">
      <x:c r="A738" s="53"/>
    </x:row>
    <x:row r="739">
      <x:c r="A739" s="53"/>
    </x:row>
    <x:row r="740">
      <x:c r="A740" s="53"/>
    </x:row>
    <x:row r="741">
      <x:c r="A741" s="53"/>
    </x:row>
    <x:row r="742">
      <x:c r="A742" s="53"/>
    </x:row>
    <x:row r="743">
      <x:c r="A743" s="53"/>
    </x:row>
    <x:row r="744">
      <x:c r="A744" s="53"/>
    </x:row>
    <x:row r="745">
      <x:c r="A745" s="53"/>
    </x:row>
    <x:row r="746">
      <x:c r="A746" s="53"/>
    </x:row>
    <x:row r="747">
      <x:c r="A747" s="53"/>
    </x:row>
    <x:row r="748">
      <x:c r="A748" s="53"/>
    </x:row>
    <x:row r="749">
      <x:c r="A749" s="53"/>
    </x:row>
    <x:row r="750">
      <x:c r="A750" s="53"/>
    </x:row>
    <x:row r="751">
      <x:c r="A751" s="53"/>
    </x:row>
    <x:row r="752">
      <x:c r="A752" s="53"/>
    </x:row>
    <x:row r="753">
      <x:c r="A753" s="53"/>
    </x:row>
    <x:row r="754">
      <x:c r="A754" s="53"/>
    </x:row>
    <x:row r="755">
      <x:c r="A755" s="53"/>
    </x:row>
    <x:row r="756">
      <x:c r="A756" s="53"/>
    </x:row>
    <x:row r="757">
      <x:c r="A757" s="53"/>
    </x:row>
    <x:row r="758">
      <x:c r="A758" s="53"/>
    </x:row>
    <x:row r="759">
      <x:c r="A759" s="53"/>
    </x:row>
    <x:row r="760">
      <x:c r="A760" s="53"/>
    </x:row>
    <x:row r="761">
      <x:c r="A761" s="53"/>
    </x:row>
    <x:row r="762">
      <x:c r="A762" s="53"/>
    </x:row>
    <x:row r="763">
      <x:c r="A763" s="53"/>
    </x:row>
    <x:row r="764">
      <x:c r="A764" s="53"/>
    </x:row>
    <x:row r="765">
      <x:c r="A765" s="53"/>
    </x:row>
    <x:row r="766">
      <x:c r="A766" s="53"/>
    </x:row>
    <x:row r="767">
      <x:c r="A767" s="53"/>
    </x:row>
    <x:row r="768">
      <x:c r="A768" s="53"/>
    </x:row>
    <x:row r="769">
      <x:c r="A769" s="53"/>
    </x:row>
    <x:row r="770">
      <x:c r="A770" s="53"/>
    </x:row>
    <x:row r="771">
      <x:c r="A771" s="53"/>
    </x:row>
    <x:row r="772">
      <x:c r="A772" s="53"/>
    </x:row>
    <x:row r="773">
      <x:c r="A773" s="53"/>
    </x:row>
    <x:row r="774">
      <x:c r="A774" s="53"/>
    </x:row>
    <x:row r="775">
      <x:c r="A775" s="53"/>
    </x:row>
    <x:row r="776">
      <x:c r="A776" s="53"/>
    </x:row>
    <x:row r="777">
      <x:c r="A777" s="53"/>
    </x:row>
    <x:row r="778">
      <x:c r="A778" s="53"/>
    </x:row>
    <x:row r="779">
      <x:c r="A779" s="53"/>
    </x:row>
    <x:row r="780">
      <x:c r="A780" s="53"/>
    </x:row>
    <x:row r="781">
      <x:c r="A781" s="53"/>
    </x:row>
    <x:row r="782">
      <x:c r="A782" s="53"/>
    </x:row>
    <x:row r="783">
      <x:c r="A783" s="53"/>
    </x:row>
    <x:row r="784">
      <x:c r="A784" s="53"/>
    </x:row>
    <x:row r="785">
      <x:c r="A785" s="53"/>
    </x:row>
    <x:row r="786">
      <x:c r="A786" s="53"/>
    </x:row>
    <x:row r="787">
      <x:c r="A787" s="53"/>
    </x:row>
    <x:row r="788">
      <x:c r="A788" s="53"/>
    </x:row>
    <x:row r="789">
      <x:c r="A789" s="53"/>
    </x:row>
    <x:row r="790">
      <x:c r="A790" s="53"/>
    </x:row>
    <x:row r="791">
      <x:c r="A791" s="53"/>
    </x:row>
    <x:row r="792">
      <x:c r="A792" s="53"/>
    </x:row>
    <x:row r="793">
      <x:c r="A793" s="53"/>
    </x:row>
    <x:row r="794">
      <x:c r="A794" s="53"/>
    </x:row>
    <x:row r="795">
      <x:c r="A795" s="53"/>
    </x:row>
    <x:row r="796">
      <x:c r="A796" s="53"/>
    </x:row>
    <x:row r="797">
      <x:c r="A797" s="53"/>
    </x:row>
    <x:row r="798">
      <x:c r="A798" s="53"/>
    </x:row>
    <x:row r="799">
      <x:c r="A799" s="53"/>
    </x:row>
    <x:row r="800">
      <x:c r="A800" s="53"/>
    </x:row>
    <x:row r="801">
      <x:c r="A801" s="53"/>
    </x:row>
    <x:row r="802">
      <x:c r="A802" s="53"/>
    </x:row>
    <x:row r="803">
      <x:c r="A803" s="53"/>
    </x:row>
    <x:row r="804">
      <x:c r="A804" s="53"/>
    </x:row>
    <x:row r="805">
      <x:c r="A805" s="53"/>
    </x:row>
    <x:row r="806">
      <x:c r="A806" s="53"/>
    </x:row>
    <x:row r="807">
      <x:c r="A807" s="53"/>
    </x:row>
    <x:row r="808">
      <x:c r="A808" s="53"/>
    </x:row>
    <x:row r="809">
      <x:c r="A809" s="53"/>
    </x:row>
    <x:row r="810">
      <x:c r="A810" s="53"/>
    </x:row>
    <x:row r="811">
      <x:c r="A811" s="53"/>
    </x:row>
    <x:row r="812">
      <x:c r="A812" s="53"/>
    </x:row>
    <x:row r="813">
      <x:c r="A813" s="53"/>
    </x:row>
    <x:row r="814">
      <x:c r="A814" s="53"/>
    </x:row>
    <x:row r="815">
      <x:c r="A815" s="53"/>
    </x:row>
    <x:row r="816">
      <x:c r="A816" s="53"/>
    </x:row>
    <x:row r="817">
      <x:c r="A817" s="53"/>
    </x:row>
    <x:row r="818">
      <x:c r="A818" s="53"/>
    </x:row>
    <x:row r="819">
      <x:c r="A819" s="53"/>
    </x:row>
    <x:row r="820">
      <x:c r="A820" s="53"/>
    </x:row>
    <x:row r="821">
      <x:c r="A821" s="53"/>
    </x:row>
    <x:row r="822">
      <x:c r="A822" s="53"/>
    </x:row>
    <x:row r="823">
      <x:c r="A823" s="53"/>
    </x:row>
    <x:row r="824">
      <x:c r="A824" s="53"/>
    </x:row>
    <x:row r="825">
      <x:c r="A825" s="53"/>
    </x:row>
    <x:row r="826">
      <x:c r="A826" s="53"/>
    </x:row>
    <x:row r="827">
      <x:c r="A827" s="53"/>
    </x:row>
    <x:row r="828">
      <x:c r="A828" s="53"/>
    </x:row>
    <x:row r="829">
      <x:c r="A829" s="53"/>
    </x:row>
    <x:row r="830">
      <x:c r="A830" s="53"/>
    </x:row>
    <x:row r="831">
      <x:c r="A831" s="53"/>
    </x:row>
    <x:row r="832">
      <x:c r="A832" s="53"/>
    </x:row>
    <x:row r="833">
      <x:c r="A833" s="53"/>
    </x:row>
    <x:row r="834">
      <x:c r="A834" s="53"/>
    </x:row>
    <x:row r="835">
      <x:c r="A835" s="53"/>
    </x:row>
    <x:row r="836">
      <x:c r="A836" s="53"/>
    </x:row>
    <x:row r="837">
      <x:c r="A837" s="53"/>
    </x:row>
    <x:row r="838">
      <x:c r="A838" s="53"/>
    </x:row>
    <x:row r="839">
      <x:c r="A839" s="53"/>
    </x:row>
    <x:row r="840">
      <x:c r="A840" s="53"/>
    </x:row>
    <x:row r="841">
      <x:c r="A841" s="53"/>
    </x:row>
    <x:row r="842">
      <x:c r="A842" s="53"/>
    </x:row>
    <x:row r="843">
      <x:c r="A843" s="53"/>
    </x:row>
    <x:row r="844">
      <x:c r="A844" s="53"/>
    </x:row>
    <x:row r="845">
      <x:c r="A845" s="53"/>
    </x:row>
    <x:row r="846">
      <x:c r="A846" s="53"/>
    </x:row>
    <x:row r="847">
      <x:c r="A847" s="53"/>
    </x:row>
    <x:row r="848">
      <x:c r="A848" s="53"/>
    </x:row>
    <x:row r="849">
      <x:c r="A849" s="53"/>
    </x:row>
    <x:row r="850">
      <x:c r="A850" s="53"/>
    </x:row>
    <x:row r="851">
      <x:c r="A851" s="53"/>
    </x:row>
    <x:row r="852">
      <x:c r="A852" s="53"/>
    </x:row>
    <x:row r="853">
      <x:c r="A853" s="53"/>
    </x:row>
    <x:row r="854">
      <x:c r="A854" s="53"/>
    </x:row>
    <x:row r="855">
      <x:c r="A855" s="53"/>
    </x:row>
    <x:row r="856">
      <x:c r="A856" s="53"/>
    </x:row>
    <x:row r="857">
      <x:c r="A857" s="53"/>
    </x:row>
    <x:row r="858">
      <x:c r="A858" s="53"/>
    </x:row>
    <x:row r="859">
      <x:c r="A859" s="53"/>
    </x:row>
    <x:row r="860">
      <x:c r="A860" s="53"/>
    </x:row>
    <x:row r="861">
      <x:c r="A861" s="53"/>
    </x:row>
    <x:row r="862">
      <x:c r="A862" s="53"/>
    </x:row>
    <x:row r="863">
      <x:c r="A863" s="53"/>
    </x:row>
    <x:row r="864">
      <x:c r="A864" s="53"/>
    </x:row>
    <x:row r="865">
      <x:c r="A865" s="53"/>
    </x:row>
    <x:row r="866">
      <x:c r="A866" s="53"/>
    </x:row>
    <x:row r="867">
      <x:c r="A867" s="53"/>
    </x:row>
    <x:row r="868">
      <x:c r="A868" s="53"/>
    </x:row>
    <x:row r="869">
      <x:c r="A869" s="53"/>
    </x:row>
    <x:row r="870">
      <x:c r="A870" s="53"/>
    </x:row>
    <x:row r="871">
      <x:c r="A871" s="53"/>
    </x:row>
    <x:row r="872">
      <x:c r="A872" s="53"/>
    </x:row>
    <x:row r="873">
      <x:c r="A873" s="53"/>
    </x:row>
    <x:row r="874">
      <x:c r="A874" s="53"/>
    </x:row>
    <x:row r="875">
      <x:c r="A875" s="53"/>
    </x:row>
    <x:row r="876">
      <x:c r="A876" s="53"/>
    </x:row>
    <x:row r="877">
      <x:c r="A877" s="53"/>
    </x:row>
    <x:row r="878">
      <x:c r="A878" s="53"/>
    </x:row>
    <x:row r="879">
      <x:c r="A879" s="53"/>
    </x:row>
    <x:row r="880">
      <x:c r="A880" s="53"/>
    </x:row>
    <x:row r="881">
      <x:c r="A881" s="53"/>
    </x:row>
    <x:row r="882">
      <x:c r="A882" s="53"/>
    </x:row>
    <x:row r="883">
      <x:c r="A883" s="53"/>
    </x:row>
    <x:row r="884">
      <x:c r="A884" s="53"/>
    </x:row>
    <x:row r="885">
      <x:c r="A885" s="53"/>
    </x:row>
    <x:row r="886">
      <x:c r="A886" s="53"/>
    </x:row>
    <x:row r="887">
      <x:c r="A887" s="53"/>
    </x:row>
    <x:row r="888">
      <x:c r="A888" s="53"/>
    </x:row>
    <x:row r="889">
      <x:c r="A889" s="53"/>
    </x:row>
    <x:row r="890">
      <x:c r="A890" s="53"/>
    </x:row>
    <x:row r="891">
      <x:c r="A891" s="53"/>
    </x:row>
    <x:row r="892">
      <x:c r="A892" s="53"/>
    </x:row>
    <x:row r="893">
      <x:c r="A893" s="53"/>
    </x:row>
    <x:row r="894">
      <x:c r="A894" s="53"/>
    </x:row>
    <x:row r="895">
      <x:c r="A895" s="53"/>
    </x:row>
    <x:row r="896">
      <x:c r="A896" s="53"/>
    </x:row>
    <x:row r="897">
      <x:c r="A897" s="53"/>
    </x:row>
    <x:row r="898">
      <x:c r="A898" s="53"/>
    </x:row>
    <x:row r="899">
      <x:c r="A899" s="53"/>
    </x:row>
    <x:row r="900">
      <x:c r="A900" s="53"/>
    </x:row>
    <x:row r="901">
      <x:c r="A901" s="53"/>
    </x:row>
    <x:row r="902">
      <x:c r="A902" s="53"/>
    </x:row>
    <x:row r="903">
      <x:c r="A903" s="53"/>
    </x:row>
    <x:row r="904">
      <x:c r="A904" s="53"/>
    </x:row>
    <x:row r="905">
      <x:c r="A905" s="53"/>
    </x:row>
    <x:row r="906">
      <x:c r="A906" s="53"/>
    </x:row>
    <x:row r="907">
      <x:c r="A907" s="53"/>
    </x:row>
    <x:row r="908">
      <x:c r="A908" s="53"/>
    </x:row>
    <x:row r="909">
      <x:c r="A909" s="53"/>
    </x:row>
    <x:row r="910">
      <x:c r="A910" s="53"/>
    </x:row>
    <x:row r="911">
      <x:c r="A911" s="53"/>
    </x:row>
    <x:row r="912">
      <x:c r="A912" s="53"/>
    </x:row>
    <x:row r="913">
      <x:c r="A913" s="53"/>
    </x:row>
    <x:row r="914">
      <x:c r="A914" s="53"/>
    </x:row>
    <x:row r="915">
      <x:c r="A915" s="53"/>
    </x:row>
    <x:row r="916">
      <x:c r="A916" s="53"/>
    </x:row>
    <x:row r="917">
      <x:c r="A917" s="53"/>
    </x:row>
    <x:row r="918">
      <x:c r="A918" s="53"/>
    </x:row>
    <x:row r="919">
      <x:c r="A919" s="53"/>
    </x:row>
    <x:row r="920">
      <x:c r="A920" s="53"/>
    </x:row>
    <x:row r="921">
      <x:c r="A921" s="53"/>
    </x:row>
    <x:row r="922">
      <x:c r="A922" s="53"/>
    </x:row>
    <x:row r="923">
      <x:c r="A923" s="53"/>
    </x:row>
    <x:row r="924">
      <x:c r="A924" s="53"/>
    </x:row>
    <x:row r="925">
      <x:c r="A925" s="53"/>
    </x:row>
    <x:row r="926">
      <x:c r="A926" s="53"/>
    </x:row>
    <x:row r="927">
      <x:c r="A927" s="53"/>
    </x:row>
    <x:row r="928">
      <x:c r="A928" s="53"/>
    </x:row>
    <x:row r="929">
      <x:c r="A929" s="53"/>
    </x:row>
    <x:row r="930">
      <x:c r="A930" s="53"/>
    </x:row>
    <x:row r="931">
      <x:c r="A931" s="53"/>
    </x:row>
    <x:row r="932">
      <x:c r="A932" s="53"/>
    </x:row>
    <x:row r="933">
      <x:c r="A933" s="53"/>
    </x:row>
    <x:row r="934">
      <x:c r="A934" s="53"/>
    </x:row>
    <x:row r="935">
      <x:c r="A935" s="53"/>
    </x:row>
    <x:row r="936">
      <x:c r="A936" s="53"/>
    </x:row>
    <x:row r="937">
      <x:c r="A937" s="53"/>
    </x:row>
    <x:row r="938">
      <x:c r="A938" s="53"/>
    </x:row>
    <x:row r="939">
      <x:c r="A939" s="53"/>
    </x:row>
    <x:row r="940">
      <x:c r="A940" s="53"/>
    </x:row>
    <x:row r="941">
      <x:c r="A941" s="53"/>
    </x:row>
    <x:row r="942">
      <x:c r="A942" s="53"/>
    </x:row>
    <x:row r="943">
      <x:c r="A943" s="53"/>
    </x:row>
    <x:row r="944">
      <x:c r="A944" s="53"/>
    </x:row>
    <x:row r="945">
      <x:c r="A945" s="53"/>
    </x:row>
    <x:row r="946">
      <x:c r="A946" s="53"/>
    </x:row>
    <x:row r="947">
      <x:c r="A947" s="53"/>
    </x:row>
    <x:row r="948">
      <x:c r="A948" s="53"/>
    </x:row>
    <x:row r="949">
      <x:c r="A949" s="53"/>
    </x:row>
    <x:row r="950">
      <x:c r="A950" s="53"/>
    </x:row>
    <x:row r="951">
      <x:c r="A951" s="53"/>
    </x:row>
    <x:row r="952">
      <x:c r="A952" s="53"/>
    </x:row>
    <x:row r="953">
      <x:c r="A953" s="53"/>
    </x:row>
    <x:row r="954">
      <x:c r="A954" s="53"/>
    </x:row>
    <x:row r="955">
      <x:c r="A955" s="53"/>
    </x:row>
    <x:row r="956">
      <x:c r="A956" s="53"/>
    </x:row>
    <x:row r="957">
      <x:c r="A957" s="53"/>
    </x:row>
    <x:row r="958">
      <x:c r="A958" s="53"/>
    </x:row>
    <x:row r="959">
      <x:c r="A959" s="53"/>
    </x:row>
    <x:row r="960">
      <x:c r="A960" s="53"/>
    </x:row>
    <x:row r="961">
      <x:c r="A961" s="53"/>
    </x:row>
    <x:row r="962">
      <x:c r="A962" s="53"/>
    </x:row>
    <x:row r="963">
      <x:c r="A963" s="53"/>
    </x:row>
    <x:row r="964">
      <x:c r="A964" s="53"/>
    </x:row>
    <x:row r="965">
      <x:c r="A965" s="53"/>
    </x:row>
    <x:row r="966">
      <x:c r="A966" s="53"/>
    </x:row>
    <x:row r="967">
      <x:c r="A967" s="53"/>
    </x:row>
    <x:row r="968">
      <x:c r="A968" s="53"/>
    </x:row>
    <x:row r="969">
      <x:c r="A969" s="53"/>
    </x:row>
    <x:row r="970">
      <x:c r="A970" s="53"/>
    </x:row>
    <x:row r="971">
      <x:c r="A971" s="53"/>
    </x:row>
    <x:row r="972">
      <x:c r="A972" s="53"/>
    </x:row>
    <x:row r="973">
      <x:c r="A973" s="53"/>
    </x:row>
    <x:row r="974">
      <x:c r="A974" s="53"/>
    </x:row>
    <x:row r="975">
      <x:c r="A975" s="53"/>
    </x:row>
    <x:row r="976">
      <x:c r="A976" s="53"/>
    </x:row>
    <x:row r="977">
      <x:c r="A977" s="53"/>
    </x:row>
    <x:row r="978">
      <x:c r="A978" s="53"/>
    </x:row>
    <x:row r="979">
      <x:c r="A979" s="53"/>
    </x:row>
    <x:row r="980">
      <x:c r="A980" s="53"/>
    </x:row>
    <x:row r="981">
      <x:c r="A981" s="53"/>
    </x:row>
    <x:row r="982">
      <x:c r="A982" s="53"/>
    </x:row>
    <x:row r="983">
      <x:c r="A983" s="53"/>
    </x:row>
    <x:row r="984">
      <x:c r="A984" s="53"/>
    </x:row>
    <x:row r="985">
      <x:c r="A985" s="53"/>
    </x:row>
  </x:sheetData>
  <x:pageMargins left="0.7" right="0.7" top="0.75" bottom="0.75" header="0.3" footer="0.3"/>
</x:worksheet>
</file>