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vsuta-my.sharepoint.com/personal/axr9059_mavs_uta_edu/Documents/Desktop/coursera/New folder (3)/"/>
    </mc:Choice>
  </mc:AlternateContent>
  <xr:revisionPtr revIDLastSave="117" documentId="8_{4E820093-EEA1-41CE-A9A1-6C92FC291124}" xr6:coauthVersionLast="47" xr6:coauthVersionMax="47" xr10:uidLastSave="{7503A7BD-E2CD-4697-980B-6126D5022F51}"/>
  <bookViews>
    <workbookView xWindow="-96" yWindow="0" windowWidth="15552" windowHeight="16656" activeTab="1" xr2:uid="{1F346D07-03A1-46E0-9785-1EF078041201}"/>
  </bookViews>
  <sheets>
    <sheet name="Sheet1" sheetId="1" r:id="rId1"/>
    <sheet name="AB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2" l="1"/>
  <c r="C16" i="1"/>
  <c r="C13" i="1"/>
  <c r="C15" i="1"/>
  <c r="C14" i="1"/>
</calcChain>
</file>

<file path=xl/sharedStrings.xml><?xml version="1.0" encoding="utf-8"?>
<sst xmlns="http://schemas.openxmlformats.org/spreadsheetml/2006/main" count="49" uniqueCount="48">
  <si>
    <t>Annual demand for roasted almonds</t>
  </si>
  <si>
    <t>Average daily demand</t>
  </si>
  <si>
    <t>σ (standard deviation) of historical daily demand</t>
  </si>
  <si>
    <t>Cost to place an order</t>
  </si>
  <si>
    <t>Cost per pound of almonds</t>
  </si>
  <si>
    <t>Holding cost per pound per year</t>
  </si>
  <si>
    <t>Lead time</t>
  </si>
  <si>
    <t>Desired service level</t>
  </si>
  <si>
    <t>Z-score for service level</t>
  </si>
  <si>
    <t xml:space="preserve">Safety stock (SS) </t>
  </si>
  <si>
    <t>z-score x σ</t>
  </si>
  <si>
    <t>Economic order quantity (EOQ)</t>
  </si>
  <si>
    <t>√2 x demand x ordering cost / holding cost</t>
  </si>
  <si>
    <t>Reorder point</t>
  </si>
  <si>
    <t>(demand rate x lead time) + safety stock</t>
  </si>
  <si>
    <t>SS (safety stock)</t>
  </si>
  <si>
    <t>The quantity of extra inventory to be held as a buffer.</t>
  </si>
  <si>
    <t>Z (z-score)</t>
  </si>
  <si>
    <t>The z-score corresponds to the desired service level and represents how many standard deviations a data point is from the mean in a normal distribution. It is obtained from statistical tables or software.</t>
  </si>
  <si>
    <t>σ (standard deviation)</t>
  </si>
  <si>
    <t>This is a measure of the variability or dispersion of historical demand or lead time data.</t>
  </si>
  <si>
    <t>Expected demand during lead time</t>
  </si>
  <si>
    <t>Product 1: organic quinoa (high value):</t>
  </si>
  <si>
    <t>Annual demand: 10,000 pounds</t>
  </si>
  <si>
    <t>Cost per unit: $5 per pound</t>
  </si>
  <si>
    <t>Total annual value (demand x cost per unit): $50,000</t>
  </si>
  <si>
    <t>Product 2: organic apples (moderate value):</t>
  </si>
  <si>
    <t>Annual demand: 20,000 pounds</t>
  </si>
  <si>
    <t>Cost per unit: $3 per pound</t>
  </si>
  <si>
    <t>Cost to place an order: $75 per order (assuming the same order cost)</t>
  </si>
  <si>
    <t>Holding cost per pound per year: $1.25 per pound per year</t>
  </si>
  <si>
    <t>Total annual value (demand x cost per unit): $60,000</t>
  </si>
  <si>
    <t>Product 3: paper napkins (low value):</t>
  </si>
  <si>
    <t>Annual demand: 30,000 units</t>
  </si>
  <si>
    <t>Cost per unit: $0.50 per unit</t>
  </si>
  <si>
    <t>Holding cost per unit per year: $0.125 per unit per year</t>
  </si>
  <si>
    <t>Total annual value (demand x cost per unit): $15,000</t>
  </si>
  <si>
    <t>Total inventory value</t>
  </si>
  <si>
    <t>Product</t>
  </si>
  <si>
    <t>Total Annual Value</t>
  </si>
  <si>
    <t>% of Total Value</t>
  </si>
  <si>
    <t>ABC Classification</t>
  </si>
  <si>
    <t>Organic Apples</t>
  </si>
  <si>
    <t>Category A</t>
  </si>
  <si>
    <t>Organic Quinoa</t>
  </si>
  <si>
    <t>Category B</t>
  </si>
  <si>
    <t>Paper Napkins</t>
  </si>
  <si>
    <t>Category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</si>
</sst>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.000_);_(* \(#,##0.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D0F12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0" fontId="0" fillId="0" borderId="0" xfId="1" applyNumberFormat="1" applyFon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37F1-9466-4005-BDFC-4E5F643A4D16}">
  <dimension ref="A2:C20"/>
  <sheetViews>
    <sheetView workbookViewId="0">
      <selection activeCell="C17" sqref="C17"/>
    </sheetView>
  </sheetViews>
  <sheetFormatPr defaultRowHeight="14.4" x14ac:dyDescent="0.3"/>
  <cols>
    <col min="1" max="1" width="39.21875" style="4" bestFit="1" customWidth="1"/>
    <col min="2" max="2" width="42.77734375" style="3" customWidth="1"/>
  </cols>
  <sheetData>
    <row r="2" spans="1:3" x14ac:dyDescent="0.3">
      <c r="A2" s="5" t="s">
        <v>0</v>
      </c>
      <c r="B2" s="3">
        <v>5000</v>
      </c>
    </row>
    <row r="3" spans="1:3" x14ac:dyDescent="0.3">
      <c r="A3" s="5" t="s">
        <v>1</v>
      </c>
      <c r="B3" s="3">
        <v>13.7</v>
      </c>
    </row>
    <row r="4" spans="1:3" x14ac:dyDescent="0.3">
      <c r="A4" s="5" t="s">
        <v>2</v>
      </c>
      <c r="B4" s="3">
        <v>2.7</v>
      </c>
    </row>
    <row r="6" spans="1:3" x14ac:dyDescent="0.3">
      <c r="A6" s="5" t="s">
        <v>3</v>
      </c>
      <c r="B6" s="3">
        <v>75</v>
      </c>
    </row>
    <row r="7" spans="1:3" x14ac:dyDescent="0.3">
      <c r="A7" s="5" t="s">
        <v>4</v>
      </c>
      <c r="B7" s="3">
        <v>5</v>
      </c>
    </row>
    <row r="8" spans="1:3" x14ac:dyDescent="0.3">
      <c r="A8" s="5" t="s">
        <v>5</v>
      </c>
      <c r="B8" s="3">
        <v>1</v>
      </c>
    </row>
    <row r="9" spans="1:3" x14ac:dyDescent="0.3">
      <c r="A9" s="5" t="s">
        <v>6</v>
      </c>
      <c r="B9" s="3">
        <v>7</v>
      </c>
    </row>
    <row r="10" spans="1:3" x14ac:dyDescent="0.3">
      <c r="A10" s="5" t="s">
        <v>7</v>
      </c>
      <c r="B10" s="3">
        <v>0.95</v>
      </c>
    </row>
    <row r="11" spans="1:3" x14ac:dyDescent="0.3">
      <c r="A11" s="5" t="s">
        <v>8</v>
      </c>
      <c r="B11" s="3">
        <v>1.645</v>
      </c>
    </row>
    <row r="13" spans="1:3" x14ac:dyDescent="0.3">
      <c r="A13" s="4" t="s">
        <v>21</v>
      </c>
      <c r="C13">
        <f>B3*B9</f>
        <v>95.899999999999991</v>
      </c>
    </row>
    <row r="14" spans="1:3" x14ac:dyDescent="0.3">
      <c r="A14" s="5" t="s">
        <v>9</v>
      </c>
      <c r="B14" s="2" t="s">
        <v>10</v>
      </c>
      <c r="C14">
        <f>B11*B4</f>
        <v>4.4415000000000004</v>
      </c>
    </row>
    <row r="15" spans="1:3" x14ac:dyDescent="0.3">
      <c r="A15" s="5" t="s">
        <v>11</v>
      </c>
      <c r="B15" s="2" t="s">
        <v>12</v>
      </c>
      <c r="C15">
        <f>SQRT((2)*B2*B6/B8)</f>
        <v>866.02540378443859</v>
      </c>
    </row>
    <row r="16" spans="1:3" x14ac:dyDescent="0.3">
      <c r="A16" s="5" t="s">
        <v>13</v>
      </c>
      <c r="B16" s="2" t="s">
        <v>14</v>
      </c>
      <c r="C16">
        <f>SUM(C13:C14)</f>
        <v>100.3415</v>
      </c>
    </row>
    <row r="18" spans="1:2" x14ac:dyDescent="0.3">
      <c r="A18" s="5" t="s">
        <v>15</v>
      </c>
      <c r="B18" s="2" t="s">
        <v>16</v>
      </c>
    </row>
    <row r="19" spans="1:2" ht="55.2" x14ac:dyDescent="0.3">
      <c r="A19" s="5" t="s">
        <v>17</v>
      </c>
      <c r="B19" s="2" t="s">
        <v>18</v>
      </c>
    </row>
    <row r="20" spans="1:2" ht="27.6" x14ac:dyDescent="0.3">
      <c r="A20" s="6" t="s">
        <v>19</v>
      </c>
      <c r="B20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959E-6025-43F6-95C9-1CEAC4B7F88C}">
  <dimension ref="A1:D28"/>
  <sheetViews>
    <sheetView tabSelected="1" workbookViewId="0">
      <selection activeCell="A23" sqref="A23"/>
    </sheetView>
  </sheetViews>
  <sheetFormatPr defaultRowHeight="14.4" x14ac:dyDescent="0.3"/>
  <cols>
    <col min="1" max="1" width="56.33203125" bestFit="1" customWidth="1"/>
    <col min="2" max="2" width="12.21875" style="7" bestFit="1" customWidth="1"/>
    <col min="3" max="3" width="13.6640625" bestFit="1" customWidth="1"/>
    <col min="4" max="4" width="15.77734375" bestFit="1" customWidth="1"/>
  </cols>
  <sheetData>
    <row r="1" spans="1:2" x14ac:dyDescent="0.3">
      <c r="A1" t="s">
        <v>22</v>
      </c>
    </row>
    <row r="2" spans="1:2" x14ac:dyDescent="0.3">
      <c r="A2" t="s">
        <v>23</v>
      </c>
      <c r="B2" s="7">
        <v>10000</v>
      </c>
    </row>
    <row r="3" spans="1:2" x14ac:dyDescent="0.3">
      <c r="A3" t="s">
        <v>24</v>
      </c>
      <c r="B3" s="7">
        <v>5</v>
      </c>
    </row>
    <row r="4" spans="1:2" x14ac:dyDescent="0.3">
      <c r="A4" t="s">
        <v>25</v>
      </c>
      <c r="B4" s="7">
        <v>50000</v>
      </c>
    </row>
    <row r="6" spans="1:2" x14ac:dyDescent="0.3">
      <c r="A6" t="s">
        <v>26</v>
      </c>
    </row>
    <row r="7" spans="1:2" x14ac:dyDescent="0.3">
      <c r="A7" t="s">
        <v>27</v>
      </c>
      <c r="B7" s="7">
        <v>20000</v>
      </c>
    </row>
    <row r="8" spans="1:2" x14ac:dyDescent="0.3">
      <c r="A8" t="s">
        <v>28</v>
      </c>
      <c r="B8" s="7">
        <v>3</v>
      </c>
    </row>
    <row r="9" spans="1:2" x14ac:dyDescent="0.3">
      <c r="A9" t="s">
        <v>29</v>
      </c>
      <c r="B9" s="7">
        <v>75</v>
      </c>
    </row>
    <row r="10" spans="1:2" x14ac:dyDescent="0.3">
      <c r="A10" t="s">
        <v>30</v>
      </c>
      <c r="B10" s="7">
        <v>1.25</v>
      </c>
    </row>
    <row r="11" spans="1:2" x14ac:dyDescent="0.3">
      <c r="A11" t="s">
        <v>31</v>
      </c>
      <c r="B11" s="7">
        <v>60000</v>
      </c>
    </row>
    <row r="13" spans="1:2" x14ac:dyDescent="0.3">
      <c r="A13" t="s">
        <v>32</v>
      </c>
    </row>
    <row r="14" spans="1:2" x14ac:dyDescent="0.3">
      <c r="A14" t="s">
        <v>33</v>
      </c>
      <c r="B14" s="7">
        <v>30000</v>
      </c>
    </row>
    <row r="15" spans="1:2" x14ac:dyDescent="0.3">
      <c r="A15" t="s">
        <v>34</v>
      </c>
      <c r="B15" s="7">
        <v>0.5</v>
      </c>
    </row>
    <row r="16" spans="1:2" x14ac:dyDescent="0.3">
      <c r="A16" t="s">
        <v>29</v>
      </c>
      <c r="B16" s="7">
        <v>75</v>
      </c>
    </row>
    <row r="17" spans="1:4" x14ac:dyDescent="0.3">
      <c r="A17" t="s">
        <v>35</v>
      </c>
      <c r="B17" s="7">
        <v>0.125</v>
      </c>
    </row>
    <row r="18" spans="1:4" x14ac:dyDescent="0.3">
      <c r="A18" t="s">
        <v>36</v>
      </c>
      <c r="B18" s="7">
        <v>15000</v>
      </c>
    </row>
    <row r="22" spans="1:4" x14ac:dyDescent="0.3">
      <c r="A22" t="s">
        <v>37</v>
      </c>
      <c r="B22" s="7">
        <f>SUM(B18,B11,B4)</f>
        <v>125000</v>
      </c>
    </row>
    <row r="25" spans="1:4" x14ac:dyDescent="0.3">
      <c r="A25" t="s">
        <v>38</v>
      </c>
      <c r="B25" s="7" t="s">
        <v>39</v>
      </c>
      <c r="C25" t="s">
        <v>40</v>
      </c>
      <c r="D25" t="s">
        <v>41</v>
      </c>
    </row>
    <row r="26" spans="1:4" x14ac:dyDescent="0.3">
      <c r="A26" t="s">
        <v>44</v>
      </c>
      <c r="B26" s="7">
        <v>50000</v>
      </c>
      <c r="C26" s="8">
        <v>0.4</v>
      </c>
      <c r="D26" t="s">
        <v>45</v>
      </c>
    </row>
    <row r="27" spans="1:4" x14ac:dyDescent="0.3">
      <c r="A27" t="s">
        <v>42</v>
      </c>
      <c r="B27" s="7">
        <v>60000</v>
      </c>
      <c r="C27" s="8">
        <v>0.48</v>
      </c>
      <c r="D27" t="s">
        <v>43</v>
      </c>
    </row>
    <row r="28" spans="1:4" x14ac:dyDescent="0.3">
      <c r="A28" t="s">
        <v>46</v>
      </c>
      <c r="B28" s="7">
        <v>15000</v>
      </c>
      <c r="C28" s="8">
        <v>0.12</v>
      </c>
      <c r="D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ABC</vt:lpstr>
    </vt:vector>
  </TitlesOfParts>
  <Company>The University of Texas at Arlington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Radman, Amir</dc:creator>
  <cp:lastModifiedBy>Radman, Amir</cp:lastModifiedBy>
  <dcterms:created xsi:type="dcterms:W3CDTF">2026-07-08T18:24:07Z</dcterms:created>
  <dcterms:modified xsi:type="dcterms:W3CDTF">2026-07-08T18:58:12Z</dcterms:modified>
</cp:coreProperties>
</file>